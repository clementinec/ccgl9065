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30240" windowHeight="189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ListClassSection">Sheet2!$A$2:$A$4</definedName>
    <definedName name="ListSemesterSelection">Sheet2!$A$35:$A$37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charset val="136"/>
      <family val="2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charset val="136"/>
      <family val="2"/>
      <color rgb="FF0070C0"/>
      <sz val="11"/>
      <scheme val="minor"/>
    </font>
    <font>
      <name val="Calibri"/>
      <family val="2"/>
      <b val="1"/>
      <color theme="6" tint="-0.249977111117893"/>
      <sz val="11"/>
      <scheme val="minor"/>
    </font>
    <font>
      <name val="Calibri"/>
      <charset val="136"/>
      <family val="2"/>
      <color rgb="FFFF0000"/>
      <sz val="11"/>
      <scheme val="minor"/>
    </font>
    <font>
      <name val="Calibri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0" fillId="0" borderId="0" pivotButton="0" quotePrefix="1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1" xfId="0">
      <alignment horizontal="left"/>
      <protection locked="0" hidden="0"/>
    </xf>
    <xf numFmtId="0" fontId="2" fillId="0" borderId="0" applyProtection="1" pivotButton="0" quotePrefix="1" xfId="0">
      <protection locked="0" hidden="0"/>
    </xf>
    <xf numFmtId="22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22" fontId="4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9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1"/>
  <sheetViews>
    <sheetView tabSelected="1" topLeftCell="A33" zoomScaleNormal="100" workbookViewId="0">
      <selection activeCell="E12" sqref="E12:E78"/>
    </sheetView>
  </sheetViews>
  <sheetFormatPr baseColWidth="10" defaultColWidth="8.83203125" defaultRowHeight="15"/>
  <cols>
    <col width="4.5" customWidth="1" style="11" min="1" max="1"/>
    <col width="18.6640625" customWidth="1" style="11" min="2" max="2"/>
    <col width="28" customWidth="1" style="11" min="3" max="3"/>
    <col width="7.5" customWidth="1" style="11" min="4" max="4"/>
    <col width="21.5" customWidth="1" style="11" min="5" max="5"/>
    <col width="20.83203125" customWidth="1" style="11" min="6" max="6"/>
    <col width="13.5" customWidth="1" style="11" min="7" max="7"/>
    <col width="53.5" customWidth="1" style="11" min="8" max="8"/>
    <col width="9.33203125" customWidth="1" style="11" min="16" max="16"/>
    <col width="11.33203125" customWidth="1" style="11" min="17" max="17"/>
  </cols>
  <sheetData>
    <row r="1">
      <c r="A1" t="inlineStr">
        <is>
          <t>Marksheet Template for Faculty of Architecture 2024-25</t>
        </is>
      </c>
    </row>
    <row r="3">
      <c r="B3" s="1" t="inlineStr">
        <is>
          <t>CourseCode</t>
        </is>
      </c>
      <c r="C3" s="4" t="inlineStr">
        <is>
          <t>CCGL9065</t>
        </is>
      </c>
      <c r="E3" t="inlineStr">
        <is>
          <t xml:space="preserve">Notes: </t>
        </is>
      </c>
    </row>
    <row r="4">
      <c r="B4" s="1" t="inlineStr">
        <is>
          <t>Semester</t>
        </is>
      </c>
      <c r="C4" s="5" t="n">
        <v>4252</v>
      </c>
      <c r="E4" t="inlineStr">
        <is>
          <t>1) Semester is compulsory (pick from the droplist)</t>
        </is>
      </c>
    </row>
    <row r="5">
      <c r="B5" s="1" t="inlineStr">
        <is>
          <t>TeachingStaffNo</t>
        </is>
      </c>
      <c r="C5" s="6" t="n"/>
      <c r="E5" t="inlineStr">
        <is>
          <t>2) Both the UNo and GRADE fields are compulsory in the grade table below</t>
        </is>
      </c>
    </row>
    <row r="6" ht="15" customHeight="1" s="11">
      <c r="B6" s="1" t="inlineStr">
        <is>
          <t>TeacherName</t>
        </is>
      </c>
      <c r="C6" s="4" t="inlineStr">
        <is>
          <t>Hongshan Guo</t>
        </is>
      </c>
      <c r="E6" t="inlineStr">
        <is>
          <t>3) All other fields are optional</t>
        </is>
      </c>
      <c r="I6" s="10" t="n"/>
      <c r="K6" s="10" t="n"/>
      <c r="M6" s="10" t="n"/>
      <c r="O6" s="10" t="n"/>
      <c r="Q6" s="10" t="n"/>
      <c r="S6" s="10" t="n"/>
    </row>
    <row r="7">
      <c r="B7" s="1" t="inlineStr">
        <is>
          <t>Time</t>
        </is>
      </c>
      <c r="C7" s="9">
        <f>NOW()</f>
        <v/>
      </c>
      <c r="E7" t="inlineStr">
        <is>
          <t>4) Only optional fields in green will be uploaded to the Faculty Intranet if entered</t>
        </is>
      </c>
    </row>
    <row r="8">
      <c r="B8" s="1" t="inlineStr">
        <is>
          <t>ClassSection</t>
        </is>
      </c>
      <c r="C8" s="7" t="inlineStr">
        <is>
          <t>2A</t>
        </is>
      </c>
      <c r="E8" t="inlineStr">
        <is>
          <t>5) Choose one of the three rounding methods for entering marks [Round (49.5-&gt;50), Floor (50.9-&gt;50) or Ceiling (50.1-&gt;51)]</t>
        </is>
      </c>
    </row>
    <row r="9">
      <c r="B9" s="1" t="inlineStr">
        <is>
          <t>Rounding Method</t>
        </is>
      </c>
      <c r="C9" s="7" t="inlineStr">
        <is>
          <t>Round</t>
        </is>
      </c>
    </row>
    <row r="10">
      <c r="I10" s="12" t="n"/>
      <c r="K10" s="12" t="n"/>
      <c r="M10" s="12" t="n"/>
      <c r="O10" s="12" t="n"/>
      <c r="Q10" s="12" t="n"/>
      <c r="S10" s="12" t="n"/>
    </row>
    <row r="11" customFormat="1" s="8">
      <c r="B11" s="2" t="inlineStr">
        <is>
          <t>UNo</t>
        </is>
      </c>
      <c r="C11" t="inlineStr">
        <is>
          <t>Name</t>
        </is>
      </c>
      <c r="D11" s="2" t="inlineStr">
        <is>
          <t>GRADE</t>
        </is>
      </c>
      <c r="E11" s="2" t="inlineStr">
        <is>
          <t>Coursework-Mark</t>
        </is>
      </c>
      <c r="F11" s="2" t="inlineStr">
        <is>
          <t>Exam-Mark</t>
        </is>
      </c>
      <c r="G11" s="2" t="inlineStr">
        <is>
          <t>Final-Mark</t>
        </is>
      </c>
      <c r="H11" s="2" t="inlineStr">
        <is>
          <t>Recommendation</t>
        </is>
      </c>
    </row>
    <row r="12" customFormat="1" s="8">
      <c r="A12" t="n">
        <v>1</v>
      </c>
      <c r="B12" s="8" t="n">
        <v>3036567107</v>
      </c>
      <c r="C12" s="8" t="inlineStr">
        <is>
          <t>Yung Mei Charlize Au-Yeung</t>
        </is>
      </c>
      <c r="D12" t="inlineStr">
        <is>
          <t>A-</t>
        </is>
      </c>
      <c r="E12" s="8" t="n">
        <v>95</v>
      </c>
      <c r="F12" s="8" t="n">
        <v>87.33</v>
      </c>
      <c r="G12" s="8" t="n">
        <v>90.40000000000001</v>
      </c>
    </row>
    <row r="13" customFormat="1" s="8">
      <c r="A13" t="n">
        <v>2</v>
      </c>
      <c r="B13" s="8" t="n">
        <v>3036136568</v>
      </c>
      <c r="C13" s="8" t="inlineStr">
        <is>
          <t>Sofia Chen</t>
        </is>
      </c>
      <c r="D13" t="inlineStr">
        <is>
          <t>F</t>
        </is>
      </c>
      <c r="E13" s="8" t="n">
        <v>45</v>
      </c>
      <c r="F13" s="8" t="n">
        <v>0</v>
      </c>
      <c r="G13" s="8" t="n">
        <v>18</v>
      </c>
    </row>
    <row r="14" customFormat="1" s="8">
      <c r="A14" t="n">
        <v>3</v>
      </c>
      <c r="B14" s="8" t="n">
        <v>3036396089</v>
      </c>
      <c r="C14" s="8" t="inlineStr">
        <is>
          <t>Hoi Shun Marco Cheung</t>
        </is>
      </c>
      <c r="D14" t="inlineStr">
        <is>
          <t>B+</t>
        </is>
      </c>
      <c r="E14" s="8" t="n">
        <v>95</v>
      </c>
      <c r="F14" s="8" t="n">
        <v>84.67</v>
      </c>
      <c r="G14" s="8" t="n">
        <v>88.8</v>
      </c>
    </row>
    <row r="15" customFormat="1" s="8">
      <c r="A15" t="n">
        <v>4</v>
      </c>
      <c r="B15" s="8" t="n">
        <v>3036596251</v>
      </c>
      <c r="C15" s="8" t="inlineStr">
        <is>
          <t>Sum Yau Cheung</t>
        </is>
      </c>
      <c r="D15" t="inlineStr">
        <is>
          <t>B+</t>
        </is>
      </c>
      <c r="E15" s="8" t="n">
        <v>92.5</v>
      </c>
      <c r="F15" s="8" t="n">
        <v>86.33</v>
      </c>
      <c r="G15" s="8" t="n">
        <v>88.8</v>
      </c>
    </row>
    <row r="16" customFormat="1" s="8">
      <c r="A16" t="n">
        <v>5</v>
      </c>
      <c r="B16" s="8" t="n">
        <v>3036601381</v>
      </c>
      <c r="C16" s="8" t="inlineStr">
        <is>
          <t>Yuen Ki Cheung</t>
        </is>
      </c>
      <c r="D16" t="inlineStr">
        <is>
          <t>B-</t>
        </is>
      </c>
      <c r="E16" s="8" t="n">
        <v>92.25</v>
      </c>
      <c r="F16" s="8" t="n">
        <v>83</v>
      </c>
      <c r="G16" s="8" t="n">
        <v>86.7</v>
      </c>
    </row>
    <row r="17" customFormat="1" s="8">
      <c r="A17" t="n">
        <v>6</v>
      </c>
      <c r="B17" s="8" t="n">
        <v>3036527470</v>
      </c>
      <c r="C17" s="8" t="inlineStr">
        <is>
          <t>Yu-Xuan Chiang</t>
        </is>
      </c>
      <c r="D17" t="inlineStr">
        <is>
          <t>B+</t>
        </is>
      </c>
      <c r="E17" s="8" t="n">
        <v>91.25</v>
      </c>
      <c r="F17" s="8" t="n">
        <v>87.33</v>
      </c>
      <c r="G17" s="8" t="n">
        <v>88.90000000000001</v>
      </c>
    </row>
    <row r="18" customFormat="1" s="8">
      <c r="A18" t="n">
        <v>7</v>
      </c>
      <c r="B18" s="8" t="n">
        <v>3036582717</v>
      </c>
      <c r="C18" s="8" t="inlineStr">
        <is>
          <t>Chi Kiu Chow</t>
        </is>
      </c>
      <c r="D18" t="inlineStr">
        <is>
          <t>B-</t>
        </is>
      </c>
      <c r="E18" s="8" t="n">
        <v>89</v>
      </c>
      <c r="F18" s="8" t="n">
        <v>83.33</v>
      </c>
      <c r="G18" s="8" t="n">
        <v>85.59999999999999</v>
      </c>
    </row>
    <row r="19" customFormat="1" s="8">
      <c r="A19" t="n">
        <v>8</v>
      </c>
      <c r="B19" s="8" t="n">
        <v>3036393427</v>
      </c>
      <c r="C19" s="8" t="inlineStr">
        <is>
          <t>Chi Yeung Chum</t>
        </is>
      </c>
      <c r="D19" t="inlineStr">
        <is>
          <t>B-</t>
        </is>
      </c>
      <c r="E19" s="8" t="n">
        <v>91.5</v>
      </c>
      <c r="F19" s="8" t="n">
        <v>82.33</v>
      </c>
      <c r="G19" s="8" t="n">
        <v>86</v>
      </c>
    </row>
    <row r="20" customFormat="1" s="8">
      <c r="A20" t="n">
        <v>9</v>
      </c>
      <c r="B20" s="8" t="n">
        <v>3036484305</v>
      </c>
      <c r="C20" s="8" t="inlineStr">
        <is>
          <t>Shijun Feng</t>
        </is>
      </c>
      <c r="D20" t="inlineStr">
        <is>
          <t>A-</t>
        </is>
      </c>
      <c r="E20" s="8" t="n">
        <v>95.75</v>
      </c>
      <c r="F20" s="8" t="n">
        <v>86.33</v>
      </c>
      <c r="G20" s="8" t="n">
        <v>90.09999999999999</v>
      </c>
    </row>
    <row r="21" customFormat="1" s="8">
      <c r="A21" t="n">
        <v>10</v>
      </c>
      <c r="B21" s="8" t="n">
        <v>3036588395</v>
      </c>
      <c r="C21" s="8" t="inlineStr">
        <is>
          <t>Ki Chun Fu</t>
        </is>
      </c>
      <c r="D21" t="inlineStr">
        <is>
          <t>B+</t>
        </is>
      </c>
      <c r="E21" s="8" t="n">
        <v>94</v>
      </c>
      <c r="F21" s="8" t="n">
        <v>85.67</v>
      </c>
      <c r="G21" s="8" t="n">
        <v>89</v>
      </c>
    </row>
    <row r="22" customFormat="1" s="8">
      <c r="A22" t="n">
        <v>11</v>
      </c>
      <c r="B22" s="8" t="n">
        <v>3036402412</v>
      </c>
      <c r="C22" s="8" t="inlineStr">
        <is>
          <t>Pak Man Fung</t>
        </is>
      </c>
      <c r="D22" t="inlineStr">
        <is>
          <t>A+</t>
        </is>
      </c>
      <c r="E22" s="8" t="n">
        <v>96.5</v>
      </c>
      <c r="F22" s="8" t="n">
        <v>88.67</v>
      </c>
      <c r="G22" s="8" t="n">
        <v>91.8</v>
      </c>
    </row>
    <row r="23" customFormat="1" s="8">
      <c r="A23" t="n">
        <v>12</v>
      </c>
      <c r="B23" s="8" t="n">
        <v>3036678308</v>
      </c>
      <c r="C23" s="8" t="inlineStr">
        <is>
          <t>Alexandre Olivier Oriol Gergele</t>
        </is>
      </c>
      <c r="D23" t="inlineStr">
        <is>
          <t>A</t>
        </is>
      </c>
      <c r="E23" s="8" t="n">
        <v>95</v>
      </c>
      <c r="F23" s="8" t="n">
        <v>89</v>
      </c>
      <c r="G23" s="8" t="n">
        <v>91.40000000000001</v>
      </c>
    </row>
    <row r="24" customFormat="1" s="8">
      <c r="A24" t="n">
        <v>13</v>
      </c>
      <c r="B24" s="8" t="n">
        <v>3036678322</v>
      </c>
      <c r="C24" s="8" t="inlineStr">
        <is>
          <t>Benjamin Alfons Hanusch</t>
        </is>
      </c>
      <c r="D24" t="inlineStr">
        <is>
          <t>B</t>
        </is>
      </c>
      <c r="E24" s="8" t="n">
        <v>91.25</v>
      </c>
      <c r="F24" s="8" t="n">
        <v>85.67</v>
      </c>
      <c r="G24" s="8" t="n">
        <v>87.90000000000001</v>
      </c>
    </row>
    <row r="25" customFormat="1" s="8">
      <c r="A25" t="n">
        <v>14</v>
      </c>
      <c r="B25" s="8" t="n">
        <v>3036573302</v>
      </c>
      <c r="C25" s="8" t="inlineStr">
        <is>
          <t>Yanjing Hua</t>
        </is>
      </c>
      <c r="D25" t="inlineStr">
        <is>
          <t>A-</t>
        </is>
      </c>
      <c r="E25" s="8" t="n">
        <v>95.5</v>
      </c>
      <c r="F25" s="8" t="n">
        <v>86.67</v>
      </c>
      <c r="G25" s="8" t="n">
        <v>90.2</v>
      </c>
    </row>
    <row r="26" customFormat="1" s="8">
      <c r="A26" t="n">
        <v>15</v>
      </c>
      <c r="B26" s="8" t="n">
        <v>3036527236</v>
      </c>
      <c r="C26" s="8" t="inlineStr">
        <is>
          <t>Ze Kai Huang</t>
        </is>
      </c>
      <c r="D26" t="inlineStr">
        <is>
          <t>B-</t>
        </is>
      </c>
      <c r="E26" s="8" t="n">
        <v>92.5</v>
      </c>
      <c r="F26" s="8" t="n">
        <v>81.33</v>
      </c>
      <c r="G26" s="8" t="n">
        <v>85.8</v>
      </c>
    </row>
    <row r="27" customFormat="1" s="8">
      <c r="A27" t="n">
        <v>16</v>
      </c>
      <c r="B27" s="8" t="n">
        <v>3036527274</v>
      </c>
      <c r="C27" s="8" t="inlineStr">
        <is>
          <t>Keira Ka Yan Hui</t>
        </is>
      </c>
      <c r="D27" t="inlineStr">
        <is>
          <t>B-</t>
        </is>
      </c>
      <c r="E27" s="8" t="n">
        <v>87.5</v>
      </c>
      <c r="F27" s="8" t="n">
        <v>85.33</v>
      </c>
      <c r="G27" s="8" t="n">
        <v>86.2</v>
      </c>
    </row>
    <row r="28" customFormat="1" s="8">
      <c r="A28" t="n">
        <v>17</v>
      </c>
      <c r="B28" s="8" t="n">
        <v>3036386369</v>
      </c>
      <c r="C28" s="8" t="inlineStr">
        <is>
          <t>Hei Yu Hung</t>
        </is>
      </c>
      <c r="D28" t="inlineStr">
        <is>
          <t>A</t>
        </is>
      </c>
      <c r="E28" s="8" t="n">
        <v>94.5</v>
      </c>
      <c r="F28" s="8" t="n">
        <v>88.67</v>
      </c>
      <c r="G28" s="8" t="n">
        <v>91</v>
      </c>
    </row>
    <row r="29" customFormat="1" s="8">
      <c r="A29" t="n">
        <v>18</v>
      </c>
      <c r="B29" s="8" t="n">
        <v>3036059899</v>
      </c>
      <c r="C29" s="8" t="inlineStr">
        <is>
          <t>Anmol Kanwal</t>
        </is>
      </c>
      <c r="D29" t="inlineStr">
        <is>
          <t>A+</t>
        </is>
      </c>
      <c r="E29" s="8" t="n">
        <v>97.5</v>
      </c>
      <c r="F29" s="8" t="n">
        <v>89</v>
      </c>
      <c r="G29" s="8" t="n">
        <v>92.40000000000001</v>
      </c>
    </row>
    <row r="30" customFormat="1" s="8">
      <c r="A30" t="n">
        <v>19</v>
      </c>
      <c r="B30" s="8" t="n">
        <v>3036525056</v>
      </c>
      <c r="C30" s="8" t="inlineStr">
        <is>
          <t>Jihoo Kim</t>
        </is>
      </c>
      <c r="D30" t="inlineStr">
        <is>
          <t>A-</t>
        </is>
      </c>
      <c r="E30" s="8" t="n">
        <v>94</v>
      </c>
      <c r="F30" s="8" t="n">
        <v>86.67</v>
      </c>
      <c r="G30" s="8" t="n">
        <v>89.59999999999999</v>
      </c>
    </row>
    <row r="31" customFormat="1" s="8">
      <c r="A31" t="n">
        <v>20</v>
      </c>
      <c r="B31" s="8" t="n">
        <v>3036678920</v>
      </c>
      <c r="C31" s="8" t="inlineStr">
        <is>
          <t>Ismael Jibbril Youssef Lahriri</t>
        </is>
      </c>
      <c r="D31" t="inlineStr">
        <is>
          <t>A-</t>
        </is>
      </c>
      <c r="E31" s="8" t="n">
        <v>95</v>
      </c>
      <c r="F31" s="8" t="n">
        <v>86.33</v>
      </c>
      <c r="G31" s="8" t="n">
        <v>89.8</v>
      </c>
    </row>
    <row r="32" customFormat="1" s="8">
      <c r="A32" t="n">
        <v>21</v>
      </c>
      <c r="B32" s="8" t="n">
        <v>3036233988</v>
      </c>
      <c r="C32" s="8" t="inlineStr">
        <is>
          <t>Hang Chi Lai</t>
        </is>
      </c>
      <c r="D32" t="inlineStr">
        <is>
          <t>B</t>
        </is>
      </c>
      <c r="E32" s="8" t="n">
        <v>92</v>
      </c>
      <c r="F32" s="8" t="n">
        <v>83.67</v>
      </c>
      <c r="G32" s="8" t="n">
        <v>87</v>
      </c>
    </row>
    <row r="33" customFormat="1" s="8">
      <c r="A33" t="n">
        <v>22</v>
      </c>
      <c r="B33" s="8" t="n">
        <v>3036484599</v>
      </c>
      <c r="C33" s="8" t="inlineStr">
        <is>
          <t>Jeff Chun Fu Lam</t>
        </is>
      </c>
      <c r="D33" t="inlineStr">
        <is>
          <t>A</t>
        </is>
      </c>
      <c r="E33" s="8" t="n">
        <v>95.5</v>
      </c>
      <c r="F33" s="8" t="n">
        <v>89.33</v>
      </c>
      <c r="G33" s="8" t="n">
        <v>91.8</v>
      </c>
    </row>
    <row r="34" customFormat="1" s="8">
      <c r="A34" t="n">
        <v>23</v>
      </c>
      <c r="B34" s="8" t="n">
        <v>3036594083</v>
      </c>
      <c r="C34" s="8" t="inlineStr">
        <is>
          <t>Hong Kiu Jamie Lee</t>
        </is>
      </c>
      <c r="D34" t="inlineStr">
        <is>
          <t>B+</t>
        </is>
      </c>
      <c r="E34" s="8" t="n">
        <v>91.5</v>
      </c>
      <c r="F34" s="8" t="n">
        <v>86.33</v>
      </c>
      <c r="G34" s="8" t="n">
        <v>88.40000000000001</v>
      </c>
    </row>
    <row r="35" customFormat="1" s="8">
      <c r="A35" t="n">
        <v>24</v>
      </c>
      <c r="B35" s="8" t="n">
        <v>3036604565</v>
      </c>
      <c r="C35" s="8" t="inlineStr">
        <is>
          <t>Wanying Li</t>
        </is>
      </c>
      <c r="D35" t="inlineStr">
        <is>
          <t>A-</t>
        </is>
      </c>
      <c r="E35" s="8" t="n">
        <v>96</v>
      </c>
      <c r="F35" s="8" t="n">
        <v>87.33</v>
      </c>
      <c r="G35" s="8" t="n">
        <v>90.8</v>
      </c>
    </row>
    <row r="36" customFormat="1" s="8">
      <c r="A36" t="n">
        <v>25</v>
      </c>
      <c r="B36" s="8" t="n">
        <v>3036393491</v>
      </c>
      <c r="C36" s="8" t="inlineStr">
        <is>
          <t>Chun Man Lok</t>
        </is>
      </c>
      <c r="D36" t="inlineStr">
        <is>
          <t>B</t>
        </is>
      </c>
      <c r="E36" s="8" t="n">
        <v>95</v>
      </c>
      <c r="F36" s="8" t="n">
        <v>83.67</v>
      </c>
      <c r="G36" s="8" t="n">
        <v>88.2</v>
      </c>
    </row>
    <row r="37" customFormat="1" s="8">
      <c r="A37" t="n">
        <v>26</v>
      </c>
      <c r="B37" s="8" t="n">
        <v>3036678528</v>
      </c>
      <c r="C37" s="8" t="inlineStr">
        <is>
          <t>Nour Lyakoubi</t>
        </is>
      </c>
      <c r="D37" t="inlineStr">
        <is>
          <t>C+</t>
        </is>
      </c>
      <c r="E37" s="8" t="n">
        <v>62.5</v>
      </c>
      <c r="F37" s="8" t="n">
        <v>86.33</v>
      </c>
      <c r="G37" s="8" t="n">
        <v>76.8</v>
      </c>
    </row>
    <row r="38" customFormat="1" s="8">
      <c r="A38" t="n">
        <v>27</v>
      </c>
      <c r="B38" s="8" t="n">
        <v>3036583802</v>
      </c>
      <c r="C38" s="8" t="inlineStr">
        <is>
          <t>Yu Hei Mak</t>
        </is>
      </c>
      <c r="D38" t="inlineStr">
        <is>
          <t>A-</t>
        </is>
      </c>
      <c r="E38" s="8" t="n">
        <v>97.5</v>
      </c>
      <c r="F38" s="8" t="n">
        <v>85.33</v>
      </c>
      <c r="G38" s="8" t="n">
        <v>90.2</v>
      </c>
    </row>
    <row r="39" customFormat="1" s="8">
      <c r="A39" t="n">
        <v>28</v>
      </c>
      <c r="B39" s="8" t="n">
        <v>3036628298</v>
      </c>
      <c r="C39" s="8" t="inlineStr">
        <is>
          <t>Hui Cheung Matthew Mok</t>
        </is>
      </c>
      <c r="D39" t="inlineStr">
        <is>
          <t>A+</t>
        </is>
      </c>
      <c r="E39" s="8" t="n">
        <v>96</v>
      </c>
      <c r="F39" s="8" t="n">
        <v>89.67</v>
      </c>
      <c r="G39" s="8" t="n">
        <v>92.2</v>
      </c>
    </row>
    <row r="40" customFormat="1" s="8">
      <c r="A40" t="n">
        <v>29</v>
      </c>
      <c r="B40" s="8" t="n">
        <v>3036666422</v>
      </c>
      <c r="C40" s="8" t="inlineStr">
        <is>
          <t>Wing Lam Ng</t>
        </is>
      </c>
      <c r="D40" t="inlineStr">
        <is>
          <t>A-</t>
        </is>
      </c>
      <c r="E40" s="8" t="n">
        <v>95.75</v>
      </c>
      <c r="F40" s="8" t="n">
        <v>86.33</v>
      </c>
      <c r="G40" s="8" t="n">
        <v>90.09999999999999</v>
      </c>
    </row>
    <row r="41" customFormat="1" s="8">
      <c r="A41" t="n">
        <v>30</v>
      </c>
      <c r="B41" s="8" t="n">
        <v>3036584155</v>
      </c>
      <c r="C41" s="8" t="inlineStr">
        <is>
          <t>Tsz Ho Ngai</t>
        </is>
      </c>
      <c r="D41" t="inlineStr">
        <is>
          <t>B</t>
        </is>
      </c>
      <c r="E41" s="8" t="n">
        <v>91</v>
      </c>
      <c r="F41" s="8" t="n">
        <v>85.33</v>
      </c>
      <c r="G41" s="8" t="n">
        <v>87.59999999999999</v>
      </c>
    </row>
    <row r="42" customFormat="1" s="8">
      <c r="A42" t="n">
        <v>31</v>
      </c>
      <c r="B42" s="8" t="n">
        <v>3036518912</v>
      </c>
      <c r="C42" s="8" t="inlineStr">
        <is>
          <t>Daniel Poon</t>
        </is>
      </c>
      <c r="D42" t="inlineStr">
        <is>
          <t>B+</t>
        </is>
      </c>
      <c r="E42" s="8" t="n">
        <v>95</v>
      </c>
      <c r="F42" s="8" t="n">
        <v>85</v>
      </c>
      <c r="G42" s="8" t="n">
        <v>89</v>
      </c>
    </row>
    <row r="43" customFormat="1" s="8">
      <c r="A43" t="n">
        <v>32</v>
      </c>
      <c r="B43" s="8" t="n">
        <v>3036468258</v>
      </c>
      <c r="C43" s="8" t="inlineStr">
        <is>
          <t>Anurag Roy</t>
        </is>
      </c>
      <c r="D43" t="inlineStr">
        <is>
          <t>B</t>
        </is>
      </c>
      <c r="E43" s="8" t="n">
        <v>93.5</v>
      </c>
      <c r="F43" s="8" t="n">
        <v>84.33</v>
      </c>
      <c r="G43" s="8" t="n">
        <v>88</v>
      </c>
    </row>
    <row r="44" customFormat="1" s="8">
      <c r="A44" t="n">
        <v>33</v>
      </c>
      <c r="B44" s="8" t="n">
        <v>3036519394</v>
      </c>
      <c r="C44" s="8" t="inlineStr">
        <is>
          <t>Matthew Kang You Situ</t>
        </is>
      </c>
      <c r="D44" t="inlineStr">
        <is>
          <t>A-</t>
        </is>
      </c>
      <c r="E44" s="8" t="n">
        <v>96.25</v>
      </c>
      <c r="F44" s="8" t="n">
        <v>86.67</v>
      </c>
      <c r="G44" s="8" t="n">
        <v>90.5</v>
      </c>
    </row>
    <row r="45" customFormat="1" s="8">
      <c r="A45" t="n">
        <v>34</v>
      </c>
      <c r="B45" s="8" t="n">
        <v>3036529636</v>
      </c>
      <c r="C45" s="8" t="inlineStr">
        <is>
          <t>Martina Bianca Roman Sy</t>
        </is>
      </c>
      <c r="D45" t="inlineStr">
        <is>
          <t>A</t>
        </is>
      </c>
      <c r="E45" s="8" t="n">
        <v>97</v>
      </c>
      <c r="F45" s="8" t="n">
        <v>87</v>
      </c>
      <c r="G45" s="8" t="n">
        <v>91</v>
      </c>
    </row>
    <row r="46" customFormat="1" s="8">
      <c r="A46" t="n">
        <v>35</v>
      </c>
      <c r="B46" s="8" t="n">
        <v>3036227408</v>
      </c>
      <c r="C46" s="8" t="inlineStr">
        <is>
          <t>Chun Lui Tang</t>
        </is>
      </c>
      <c r="D46" t="inlineStr">
        <is>
          <t>F</t>
        </is>
      </c>
      <c r="E46" s="8" t="n">
        <v>0</v>
      </c>
      <c r="F46" s="8" t="n">
        <v>0</v>
      </c>
      <c r="G46" s="8" t="n">
        <v>0</v>
      </c>
    </row>
    <row r="47" customFormat="1" s="8">
      <c r="A47" t="n">
        <v>36</v>
      </c>
      <c r="B47" s="8" t="n">
        <v>3036220371</v>
      </c>
      <c r="C47" s="8" t="inlineStr">
        <is>
          <t>Ka Ho Tang</t>
        </is>
      </c>
      <c r="D47" t="inlineStr">
        <is>
          <t>B-</t>
        </is>
      </c>
      <c r="E47" s="8" t="n">
        <v>92</v>
      </c>
      <c r="F47" s="8" t="n">
        <v>80</v>
      </c>
      <c r="G47" s="8" t="n">
        <v>84.8</v>
      </c>
    </row>
    <row r="48" customFormat="1" s="8">
      <c r="A48" t="n">
        <v>37</v>
      </c>
      <c r="B48" s="8" t="n">
        <v>3036596550</v>
      </c>
      <c r="C48" s="8" t="inlineStr">
        <is>
          <t>Marshall Tang</t>
        </is>
      </c>
      <c r="D48" t="inlineStr">
        <is>
          <t>A</t>
        </is>
      </c>
      <c r="E48" s="8" t="n">
        <v>96.5</v>
      </c>
      <c r="F48" s="8" t="n">
        <v>87.33</v>
      </c>
      <c r="G48" s="8" t="n">
        <v>91</v>
      </c>
    </row>
    <row r="49" customFormat="1" s="8">
      <c r="A49" t="n">
        <v>38</v>
      </c>
      <c r="B49" s="8" t="n">
        <v>3036590245</v>
      </c>
      <c r="C49" s="8" t="inlineStr">
        <is>
          <t>Chun Hei Ting</t>
        </is>
      </c>
      <c r="D49" t="inlineStr">
        <is>
          <t>B</t>
        </is>
      </c>
      <c r="E49" s="8" t="n">
        <v>96.5</v>
      </c>
      <c r="F49" s="8" t="n">
        <v>82.33</v>
      </c>
      <c r="G49" s="8" t="n">
        <v>88</v>
      </c>
    </row>
    <row r="50" customFormat="1" s="8">
      <c r="A50" t="n">
        <v>39</v>
      </c>
      <c r="B50" s="8" t="n">
        <v>3036320810</v>
      </c>
      <c r="C50" s="8" t="inlineStr">
        <is>
          <t>Shengyi Tu</t>
        </is>
      </c>
      <c r="D50" t="inlineStr">
        <is>
          <t>C</t>
        </is>
      </c>
      <c r="E50" s="8" t="n">
        <v>46</v>
      </c>
      <c r="F50" s="8" t="n">
        <v>86</v>
      </c>
      <c r="G50" s="8" t="n">
        <v>70</v>
      </c>
    </row>
    <row r="51" customFormat="1" s="8">
      <c r="A51" t="n">
        <v>40</v>
      </c>
      <c r="B51" s="8" t="n">
        <v>3036603341</v>
      </c>
      <c r="C51" s="8" t="inlineStr">
        <is>
          <t>Haochen Wang</t>
        </is>
      </c>
      <c r="D51" t="inlineStr">
        <is>
          <t>B-</t>
        </is>
      </c>
      <c r="E51" s="8" t="n">
        <v>89.5</v>
      </c>
      <c r="F51" s="8" t="n">
        <v>82.67</v>
      </c>
      <c r="G51" s="8" t="n">
        <v>85.40000000000001</v>
      </c>
    </row>
    <row r="52" customFormat="1" s="8">
      <c r="A52" t="n">
        <v>41</v>
      </c>
      <c r="B52" s="8" t="n">
        <v>3036567042</v>
      </c>
      <c r="C52" s="8" t="inlineStr">
        <is>
          <t>Joan Yan Shing Wong</t>
        </is>
      </c>
      <c r="D52" t="inlineStr">
        <is>
          <t>B</t>
        </is>
      </c>
      <c r="E52" s="8" t="n">
        <v>95</v>
      </c>
      <c r="F52" s="8" t="n">
        <v>83.67</v>
      </c>
      <c r="G52" s="8" t="n">
        <v>88.2</v>
      </c>
    </row>
    <row r="53" customFormat="1" s="8">
      <c r="A53" t="n">
        <v>42</v>
      </c>
      <c r="B53" s="8" t="n">
        <v>3036484551</v>
      </c>
      <c r="C53" s="8" t="inlineStr">
        <is>
          <t>Tin Hang Anthony Wong</t>
        </is>
      </c>
      <c r="D53" t="inlineStr">
        <is>
          <t>B+</t>
        </is>
      </c>
      <c r="E53" s="8" t="n">
        <v>96.5</v>
      </c>
      <c r="F53" s="8" t="n">
        <v>84.67</v>
      </c>
      <c r="G53" s="8" t="n">
        <v>89.40000000000001</v>
      </c>
    </row>
    <row r="54" customFormat="1" s="8">
      <c r="A54" t="n">
        <v>43</v>
      </c>
      <c r="B54" s="8" t="n">
        <v>3036519497</v>
      </c>
      <c r="C54" s="8" t="inlineStr">
        <is>
          <t>Shiran Xu</t>
        </is>
      </c>
      <c r="D54" t="inlineStr">
        <is>
          <t>B</t>
        </is>
      </c>
      <c r="E54" s="8" t="n">
        <v>93.5</v>
      </c>
      <c r="F54" s="8" t="n">
        <v>84</v>
      </c>
      <c r="G54" s="8" t="n">
        <v>87.8</v>
      </c>
    </row>
    <row r="55" customFormat="1" s="8">
      <c r="A55" t="n">
        <v>44</v>
      </c>
      <c r="B55" s="8" t="n">
        <v>3036519485</v>
      </c>
      <c r="C55" s="8" t="inlineStr">
        <is>
          <t>Yilin Xu</t>
        </is>
      </c>
      <c r="D55" t="inlineStr">
        <is>
          <t>C+</t>
        </is>
      </c>
      <c r="E55" s="8" t="n">
        <v>92.5</v>
      </c>
      <c r="F55" s="8" t="n">
        <v>79</v>
      </c>
      <c r="G55" s="8" t="n">
        <v>84.40000000000001</v>
      </c>
    </row>
    <row r="56" customFormat="1" s="8">
      <c r="A56" t="n">
        <v>45</v>
      </c>
      <c r="B56" s="8" t="n">
        <v>3036525680</v>
      </c>
      <c r="C56" s="8" t="inlineStr">
        <is>
          <t>Jason Yeung</t>
        </is>
      </c>
      <c r="D56" t="inlineStr">
        <is>
          <t>B+</t>
        </is>
      </c>
      <c r="E56" s="8" t="n">
        <v>93.5</v>
      </c>
      <c r="F56" s="8" t="n">
        <v>85</v>
      </c>
      <c r="G56" s="8" t="n">
        <v>88.40000000000001</v>
      </c>
    </row>
    <row r="57" customFormat="1" s="8">
      <c r="A57" t="n">
        <v>46</v>
      </c>
      <c r="B57" s="8" t="n">
        <v>3036515726</v>
      </c>
      <c r="C57" s="8" t="inlineStr">
        <is>
          <t>Tsz Chun Yim</t>
        </is>
      </c>
      <c r="D57" t="inlineStr">
        <is>
          <t>B-</t>
        </is>
      </c>
      <c r="E57" s="8" t="n">
        <v>95</v>
      </c>
      <c r="F57" s="8" t="n">
        <v>81.33</v>
      </c>
      <c r="G57" s="8" t="n">
        <v>86.8</v>
      </c>
    </row>
    <row r="58" customFormat="1" s="8">
      <c r="A58" t="n">
        <v>47</v>
      </c>
      <c r="B58" s="8" t="n">
        <v>3036398910</v>
      </c>
      <c r="C58" s="8" t="inlineStr">
        <is>
          <t>Hin Wang Yip</t>
        </is>
      </c>
      <c r="D58" t="inlineStr">
        <is>
          <t>C</t>
        </is>
      </c>
      <c r="E58" s="8" t="n">
        <v>66</v>
      </c>
      <c r="F58" s="8" t="n">
        <v>79</v>
      </c>
      <c r="G58" s="8" t="n">
        <v>73.8</v>
      </c>
    </row>
    <row r="59" customFormat="1" s="8">
      <c r="A59" t="n">
        <v>48</v>
      </c>
      <c r="B59" s="8" t="n">
        <v>3035856082</v>
      </c>
      <c r="C59" s="8" t="inlineStr">
        <is>
          <t>Hua Zong</t>
        </is>
      </c>
      <c r="D59" t="inlineStr">
        <is>
          <t>C-</t>
        </is>
      </c>
      <c r="E59" s="8" t="n">
        <v>47</v>
      </c>
      <c r="F59" s="8" t="n">
        <v>85</v>
      </c>
      <c r="G59" s="8" t="n">
        <v>69.8</v>
      </c>
    </row>
    <row r="60" customFormat="1" s="8">
      <c r="B60" s="8" t="n"/>
      <c r="C60" s="8" t="n"/>
      <c r="E60" s="8" t="n"/>
    </row>
    <row r="61" customFormat="1" s="8">
      <c r="B61" s="8" t="n"/>
      <c r="C61" s="8" t="n"/>
      <c r="E61" s="8" t="n"/>
    </row>
    <row r="62" customFormat="1" s="8">
      <c r="B62" s="8" t="n"/>
      <c r="C62" s="8" t="n"/>
      <c r="E62" s="8" t="n"/>
    </row>
    <row r="63" customFormat="1" s="8">
      <c r="B63" s="8" t="n"/>
      <c r="C63" s="8" t="n"/>
      <c r="E63" s="8" t="n"/>
    </row>
    <row r="64" customFormat="1" s="8">
      <c r="B64" s="8" t="n"/>
      <c r="C64" s="8" t="n"/>
      <c r="E64" s="8" t="n"/>
    </row>
    <row r="65" customFormat="1" s="8">
      <c r="B65" s="8" t="n"/>
      <c r="C65" s="8" t="n"/>
      <c r="E65" s="8" t="n"/>
    </row>
    <row r="66" customFormat="1" s="8">
      <c r="B66" s="8" t="n"/>
      <c r="C66" s="8" t="n"/>
      <c r="E66" s="8" t="n"/>
    </row>
    <row r="67" customFormat="1" s="8">
      <c r="B67" s="8" t="n"/>
      <c r="C67" s="8" t="n"/>
      <c r="E67" s="8" t="n"/>
    </row>
    <row r="68" customFormat="1" s="8">
      <c r="B68" s="8" t="n"/>
      <c r="C68" s="8" t="n"/>
      <c r="E68" s="8" t="n"/>
    </row>
    <row r="69" customFormat="1" s="8">
      <c r="B69" s="8" t="n"/>
      <c r="C69" s="8" t="n"/>
      <c r="E69" s="8" t="n"/>
    </row>
    <row r="70" customFormat="1" s="8">
      <c r="B70" s="8" t="n"/>
      <c r="C70" s="8" t="n"/>
      <c r="E70" s="8" t="n"/>
    </row>
    <row r="71" customFormat="1" s="8">
      <c r="B71" s="8" t="n"/>
      <c r="C71" s="8" t="n"/>
      <c r="E71" s="8" t="n"/>
    </row>
    <row r="72" customFormat="1" s="8">
      <c r="B72" s="8" t="n"/>
      <c r="C72" s="8" t="n"/>
      <c r="E72" s="8" t="n"/>
    </row>
    <row r="73" customFormat="1" s="8">
      <c r="B73" s="8" t="n"/>
      <c r="C73" s="8" t="n"/>
      <c r="E73" s="8" t="n"/>
    </row>
    <row r="74" customFormat="1" s="8">
      <c r="B74" s="8" t="n"/>
      <c r="C74" s="8" t="n"/>
      <c r="E74" s="8" t="n"/>
    </row>
    <row r="75" customFormat="1" s="8">
      <c r="B75" s="8" t="n"/>
      <c r="C75" s="8" t="n"/>
      <c r="E75" s="8" t="n"/>
    </row>
    <row r="76" customFormat="1" s="8">
      <c r="B76" s="8" t="n"/>
      <c r="C76" s="8" t="n"/>
      <c r="E76" s="8" t="n"/>
    </row>
    <row r="77" customFormat="1" s="8">
      <c r="B77" s="8" t="n"/>
      <c r="C77" s="8" t="n"/>
      <c r="E77" s="8" t="n"/>
    </row>
    <row r="78" customFormat="1" s="8">
      <c r="B78" s="8" t="n"/>
      <c r="C78" s="8" t="n"/>
      <c r="E78" s="8" t="n"/>
    </row>
    <row r="79" customFormat="1" s="8"/>
    <row r="80" customFormat="1" s="8"/>
    <row r="81" customFormat="1" s="8"/>
    <row r="82" customFormat="1" s="8"/>
    <row r="83" customFormat="1" s="8"/>
    <row r="84" customFormat="1" s="8"/>
    <row r="85" customFormat="1" s="8"/>
    <row r="86" customFormat="1" s="8"/>
    <row r="87" customFormat="1" s="8"/>
    <row r="88" customFormat="1" s="8"/>
    <row r="89" customFormat="1" s="8"/>
    <row r="90" customFormat="1" s="8"/>
    <row r="91" customFormat="1" s="8"/>
    <row r="92" customFormat="1" s="8"/>
    <row r="93" customFormat="1" s="8"/>
    <row r="94" customFormat="1" s="8"/>
    <row r="95" customFormat="1" s="8"/>
    <row r="96" customFormat="1" s="8"/>
    <row r="97" customFormat="1" s="8"/>
    <row r="98" customFormat="1" s="8"/>
    <row r="99" customFormat="1" s="8"/>
    <row r="100" customFormat="1" s="8"/>
    <row r="101" customFormat="1" s="8"/>
    <row r="102" customFormat="1" s="8"/>
    <row r="103" customFormat="1" s="8"/>
    <row r="104" customFormat="1" s="8"/>
    <row r="105" customFormat="1" s="8"/>
    <row r="106" customFormat="1" s="8"/>
    <row r="107" customFormat="1" s="8"/>
    <row r="108" customFormat="1" s="8"/>
    <row r="109" customFormat="1" s="8"/>
    <row r="110" customFormat="1" s="8"/>
    <row r="111" customFormat="1" s="8"/>
    <row r="112" customFormat="1" s="8"/>
    <row r="113" customFormat="1" s="8"/>
    <row r="114" customFormat="1" s="8"/>
    <row r="115" customFormat="1" s="8"/>
    <row r="116" customFormat="1" s="8"/>
    <row r="117" customFormat="1" s="8"/>
    <row r="118" customFormat="1" s="8"/>
    <row r="119" customFormat="1" s="8"/>
    <row r="120" customFormat="1" s="8"/>
    <row r="121" customFormat="1" s="8"/>
    <row r="122" customFormat="1" s="8"/>
    <row r="123" customFormat="1" s="8"/>
    <row r="124" customFormat="1" s="8"/>
    <row r="125" customFormat="1" s="8"/>
    <row r="126" customFormat="1" s="8"/>
    <row r="127" customFormat="1" s="8"/>
    <row r="128" customFormat="1" s="8"/>
    <row r="129" customFormat="1" s="8"/>
    <row r="130" customFormat="1" s="8"/>
    <row r="131" customFormat="1" s="8"/>
    <row r="132" customFormat="1" s="8"/>
    <row r="133" customFormat="1" s="8"/>
    <row r="134" customFormat="1" s="8"/>
    <row r="135" customFormat="1" s="8"/>
    <row r="136" customFormat="1" s="8"/>
    <row r="137" customFormat="1" s="8"/>
    <row r="138" customFormat="1" s="8"/>
    <row r="139" customFormat="1" s="8"/>
    <row r="140" customFormat="1" s="8"/>
    <row r="141" customFormat="1" s="8"/>
    <row r="142" customFormat="1" s="8"/>
    <row r="143" customFormat="1" s="8"/>
    <row r="144" customFormat="1" s="8"/>
    <row r="145" customFormat="1" s="8"/>
    <row r="146" customFormat="1" s="8"/>
    <row r="147" customFormat="1" s="8"/>
    <row r="148" customFormat="1" s="8"/>
    <row r="149" customFormat="1" s="8"/>
    <row r="150" customFormat="1" s="8"/>
    <row r="151" customFormat="1" s="8"/>
    <row r="152" customFormat="1" s="8"/>
    <row r="153" customFormat="1" s="8"/>
    <row r="154" customFormat="1" s="8"/>
    <row r="155" customFormat="1" s="8"/>
    <row r="156" customFormat="1" s="8"/>
    <row r="157" customFormat="1" s="8"/>
    <row r="158" customFormat="1" s="8"/>
    <row r="159" customFormat="1" s="8"/>
    <row r="160" customFormat="1" s="8"/>
    <row r="161" customFormat="1" s="8"/>
    <row r="162" customFormat="1" s="8"/>
    <row r="163" customFormat="1" s="8"/>
    <row r="164" customFormat="1" s="8"/>
    <row r="165" customFormat="1" s="8"/>
    <row r="166" customFormat="1" s="8"/>
    <row r="167" customFormat="1" s="8"/>
    <row r="168" customFormat="1" s="8"/>
    <row r="169" customFormat="1" s="8"/>
    <row r="170" customFormat="1" s="8"/>
    <row r="171" customFormat="1" s="8"/>
    <row r="172" customFormat="1" s="8"/>
    <row r="173" customFormat="1" s="8"/>
    <row r="174" customFormat="1" s="8"/>
    <row r="175" customFormat="1" s="8"/>
    <row r="176" customFormat="1" s="8"/>
    <row r="177" customFormat="1" s="8"/>
    <row r="178" customFormat="1" s="8"/>
    <row r="179" customFormat="1" s="8"/>
    <row r="180" customFormat="1" s="8"/>
    <row r="181" customFormat="1" s="8"/>
    <row r="182" customFormat="1" s="8"/>
    <row r="183" customFormat="1" s="8"/>
    <row r="184" customFormat="1" s="8"/>
    <row r="185" customFormat="1" s="8"/>
    <row r="186" customFormat="1" s="8"/>
    <row r="187" customFormat="1" s="8"/>
    <row r="188" customFormat="1" s="8"/>
    <row r="189" customFormat="1" s="8"/>
    <row r="190" customFormat="1" s="8"/>
    <row r="191" customFormat="1" s="8"/>
    <row r="192" customFormat="1" s="8"/>
    <row r="193" customFormat="1" s="8"/>
    <row r="194" customFormat="1" s="8"/>
    <row r="195" customFormat="1" s="8"/>
    <row r="196" customFormat="1" s="8"/>
    <row r="197" customFormat="1" s="8"/>
    <row r="198" customFormat="1" s="8"/>
    <row r="199" customFormat="1" s="8"/>
    <row r="200" customFormat="1" s="8"/>
    <row r="201" customFormat="1" s="8"/>
    <row r="202" customFormat="1" s="8"/>
    <row r="203" customFormat="1" s="8"/>
    <row r="204" customFormat="1" s="8"/>
    <row r="205" customFormat="1" s="8"/>
    <row r="206" customFormat="1" s="8"/>
    <row r="207" customFormat="1" s="8"/>
    <row r="208" customFormat="1" s="8"/>
    <row r="209" customFormat="1" s="8"/>
    <row r="210" customFormat="1" s="8"/>
    <row r="211" customFormat="1" s="8"/>
    <row r="212" customFormat="1" s="8"/>
    <row r="213" customFormat="1" s="8"/>
    <row r="214" customFormat="1" s="8"/>
    <row r="215" customFormat="1" s="8"/>
    <row r="216" customFormat="1" s="8"/>
    <row r="217" customFormat="1" s="8"/>
    <row r="218" customFormat="1" s="8"/>
    <row r="219" customFormat="1" s="8"/>
    <row r="220" customFormat="1" s="8"/>
    <row r="221" customFormat="1" s="8"/>
    <row r="222" customFormat="1" s="8"/>
    <row r="223" customFormat="1" s="8"/>
    <row r="224" customFormat="1" s="8"/>
    <row r="225" customFormat="1" s="8"/>
    <row r="226" customFormat="1" s="8"/>
    <row r="227" customFormat="1" s="8"/>
    <row r="228" customFormat="1" s="8"/>
    <row r="229" customFormat="1" s="8"/>
    <row r="230" customFormat="1" s="8"/>
    <row r="231" customFormat="1" s="8"/>
    <row r="232" customFormat="1" s="8"/>
    <row r="233" customFormat="1" s="8"/>
    <row r="234" customFormat="1" s="8"/>
    <row r="235" customFormat="1" s="8"/>
    <row r="236" customFormat="1" s="8"/>
    <row r="237" customFormat="1" s="8"/>
    <row r="238" customFormat="1" s="8"/>
    <row r="239" customFormat="1" s="8"/>
    <row r="240" customFormat="1" s="8"/>
    <row r="241" customFormat="1" s="8"/>
    <row r="242" customFormat="1" s="8"/>
    <row r="243" customFormat="1" s="8"/>
    <row r="244" customFormat="1" s="8"/>
    <row r="245" customFormat="1" s="8"/>
    <row r="246" customFormat="1" s="8"/>
    <row r="247" customFormat="1" s="8"/>
    <row r="248" customFormat="1" s="8"/>
    <row r="249" customFormat="1" s="8"/>
    <row r="250" customFormat="1" s="8"/>
    <row r="251" customFormat="1" s="8"/>
    <row r="252" customFormat="1" s="8"/>
    <row r="253" customFormat="1" s="8"/>
    <row r="254" customFormat="1" s="8"/>
    <row r="255" customFormat="1" s="8"/>
    <row r="256" customFormat="1" s="8"/>
    <row r="257" customFormat="1" s="8"/>
    <row r="258" customFormat="1" s="8"/>
    <row r="259" customFormat="1" s="8"/>
    <row r="260" customFormat="1" s="8"/>
    <row r="261" customFormat="1" s="8"/>
    <row r="262" customFormat="1" s="8"/>
    <row r="263" customFormat="1" s="8"/>
    <row r="264" customFormat="1" s="8"/>
    <row r="265" customFormat="1" s="8"/>
    <row r="266" customFormat="1" s="8"/>
    <row r="267" customFormat="1" s="8"/>
    <row r="268" customFormat="1" s="8"/>
    <row r="269" customFormat="1" s="8"/>
    <row r="270" customFormat="1" s="8"/>
    <row r="271" customFormat="1" s="8"/>
    <row r="272" customFormat="1" s="8"/>
    <row r="273" customFormat="1" s="8"/>
    <row r="274" customFormat="1" s="8"/>
    <row r="275" customFormat="1" s="8"/>
    <row r="276" customFormat="1" s="8"/>
    <row r="277" customFormat="1" s="8"/>
    <row r="278" customFormat="1" s="8"/>
    <row r="279" customFormat="1" s="8"/>
    <row r="280" customFormat="1" s="8"/>
    <row r="281" customFormat="1" s="8"/>
    <row r="282" customFormat="1" s="8"/>
    <row r="283" customFormat="1" s="8"/>
    <row r="284" customFormat="1" s="8"/>
    <row r="285" customFormat="1" s="8"/>
    <row r="286" customFormat="1" s="8"/>
    <row r="287" customFormat="1" s="8"/>
    <row r="288" customFormat="1" s="8"/>
    <row r="289" customFormat="1" s="8"/>
    <row r="290" customFormat="1" s="8"/>
    <row r="291" customFormat="1" s="8"/>
    <row r="292" customFormat="1" s="8"/>
    <row r="293" customFormat="1" s="8"/>
    <row r="294" customFormat="1" s="8"/>
    <row r="295" customFormat="1" s="8"/>
    <row r="296" customFormat="1" s="8"/>
    <row r="297" customFormat="1" s="8"/>
    <row r="298" customFormat="1" s="8"/>
    <row r="299" customFormat="1" s="8"/>
    <row r="300" customFormat="1" s="8"/>
    <row r="301" customFormat="1" s="8"/>
    <row r="302" customFormat="1" s="8"/>
    <row r="303" customFormat="1" s="8"/>
    <row r="304" customFormat="1" s="8"/>
    <row r="305" customFormat="1" s="8"/>
    <row r="306" customFormat="1" s="8"/>
    <row r="307" customFormat="1" s="8"/>
    <row r="308" customFormat="1" s="8"/>
    <row r="309" customFormat="1" s="8"/>
    <row r="310" customFormat="1" s="8"/>
    <row r="311" customFormat="1" s="8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jDI7ZQJG/fzTtQxssz/arQ==" formatRows="1" sort="1" spinCount="100000" hashValue="vNh29RDwKVKi7uXl5vt7y5sYEoTHA02cZNWLE2XdSt/CF8HagYNHYQpCwotz4Clee6Rmen1kDbIm6GDyZwyZkg=="/>
  <mergeCells count="12">
    <mergeCell ref="I6:J6"/>
    <mergeCell ref="S10:T10"/>
    <mergeCell ref="M6:N6"/>
    <mergeCell ref="I10:J10"/>
    <mergeCell ref="O10:P10"/>
    <mergeCell ref="Q6:R6"/>
    <mergeCell ref="O6:P6"/>
    <mergeCell ref="K10:L10"/>
    <mergeCell ref="S6:T6"/>
    <mergeCell ref="M10:N10"/>
    <mergeCell ref="Q10:R10"/>
    <mergeCell ref="K6:L6"/>
  </mergeCells>
  <dataValidations xWindow="263" yWindow="276" count="5">
    <dataValidation sqref="C5" showDropDown="0" showInputMessage="1" showErrorMessage="1" allowBlank="1" promptTitle="Staff number of professor" prompt="Pls enter your staff number" type="decimal">
      <formula1>1000</formula1>
      <formula2>199999</formula2>
    </dataValidation>
    <dataValidation sqref="C4" showDropDown="0" showInputMessage="1" showErrorMessage="1" allowBlank="1" promptTitle="Semester Code" prompt="4241: 2024-25 Sem1_x000a_4242: 2024-25 Sem2_x000a_4248: 2024-25 Summer Sem" type="list">
      <formula1>ListSemesterSelection</formula1>
    </dataValidation>
    <dataValidation sqref="E12:G311" showDropDown="0" showInputMessage="1" showErrorMessage="1" allowBlank="1" promptTitle="Real number only" prompt="(0 - 100)" type="decimal">
      <formula1>0</formula1>
      <formula2>100</formula2>
    </dataValidation>
    <dataValidation sqref="B12:B311" showDropDown="0" showInputMessage="1" showErrorMessage="1" allowBlank="1" promptTitle="UNo" prompt="Integer only (10 digits)" type="whole">
      <formula1>1950000000</formula1>
      <formula2>4000000000</formula2>
    </dataValidation>
    <dataValidation sqref="H12:H311" showDropDown="0" showInputMessage="1" showErrorMessage="1" allowBlank="1" promptTitle="Recommendation" prompt="Max. 200 characters" type="textLength">
      <formula1>0</formula1>
      <formula2>200</formula2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38" sqref="A38"/>
    </sheetView>
  </sheetViews>
  <sheetFormatPr baseColWidth="10" defaultColWidth="8.83203125" defaultRowHeight="15"/>
  <sheetData>
    <row r="1">
      <c r="A1" t="inlineStr">
        <is>
          <t>List of Class Section</t>
        </is>
      </c>
    </row>
    <row r="2">
      <c r="A2" t="inlineStr">
        <is>
          <t>1A</t>
        </is>
      </c>
    </row>
    <row r="3">
      <c r="A3" t="inlineStr">
        <is>
          <t>2A</t>
        </is>
      </c>
    </row>
    <row r="4">
      <c r="A4" t="inlineStr">
        <is>
          <t>FA</t>
        </is>
      </c>
    </row>
    <row r="5">
      <c r="A5" t="inlineStr">
        <is>
          <t>SA</t>
        </is>
      </c>
    </row>
    <row r="7">
      <c r="A7" t="inlineStr">
        <is>
          <t>List of Grade Legend</t>
        </is>
      </c>
    </row>
    <row r="8">
      <c r="A8" t="inlineStr">
        <is>
          <t>A+</t>
        </is>
      </c>
    </row>
    <row r="9">
      <c r="A9" t="inlineStr">
        <is>
          <t>A</t>
        </is>
      </c>
    </row>
    <row r="10">
      <c r="A10" t="inlineStr">
        <is>
          <t>A-</t>
        </is>
      </c>
    </row>
    <row r="11">
      <c r="A11" t="inlineStr">
        <is>
          <t>B+</t>
        </is>
      </c>
    </row>
    <row r="12">
      <c r="A12" t="inlineStr">
        <is>
          <t>B</t>
        </is>
      </c>
    </row>
    <row r="13">
      <c r="A13" t="inlineStr">
        <is>
          <t>B-</t>
        </is>
      </c>
    </row>
    <row r="14">
      <c r="A14" t="inlineStr">
        <is>
          <t>C+</t>
        </is>
      </c>
    </row>
    <row r="15">
      <c r="A15" t="inlineStr">
        <is>
          <t>C</t>
        </is>
      </c>
    </row>
    <row r="16">
      <c r="A16" t="inlineStr">
        <is>
          <t>C-</t>
        </is>
      </c>
    </row>
    <row r="17">
      <c r="A17" t="inlineStr">
        <is>
          <t>D+</t>
        </is>
      </c>
    </row>
    <row r="18">
      <c r="A18" t="inlineStr">
        <is>
          <t>D</t>
        </is>
      </c>
    </row>
    <row r="19">
      <c r="A19" t="inlineStr">
        <is>
          <t>DI</t>
        </is>
      </c>
    </row>
    <row r="20">
      <c r="A20" t="inlineStr">
        <is>
          <t>EX</t>
        </is>
      </c>
    </row>
    <row r="21">
      <c r="A21" t="inlineStr">
        <is>
          <t>F</t>
        </is>
      </c>
    </row>
    <row r="22">
      <c r="A22" t="inlineStr">
        <is>
          <t>FL</t>
        </is>
      </c>
    </row>
    <row r="23">
      <c r="A23" t="inlineStr">
        <is>
          <t>N</t>
        </is>
      </c>
    </row>
    <row r="24">
      <c r="A24" t="inlineStr">
        <is>
          <t>NC</t>
        </is>
      </c>
    </row>
    <row r="25">
      <c r="A25" t="inlineStr">
        <is>
          <t>NE</t>
        </is>
      </c>
    </row>
    <row r="26">
      <c r="A26" t="inlineStr">
        <is>
          <t>NS</t>
        </is>
      </c>
    </row>
    <row r="27">
      <c r="A27" t="inlineStr">
        <is>
          <t>NV</t>
        </is>
      </c>
    </row>
    <row r="28">
      <c r="A28" t="inlineStr">
        <is>
          <t>P</t>
        </is>
      </c>
    </row>
    <row r="29">
      <c r="A29" t="inlineStr">
        <is>
          <t>PE</t>
        </is>
      </c>
    </row>
    <row r="30">
      <c r="A30" t="inlineStr">
        <is>
          <t>SC</t>
        </is>
      </c>
    </row>
    <row r="31">
      <c r="A31" t="inlineStr">
        <is>
          <t>SE</t>
        </is>
      </c>
    </row>
    <row r="32">
      <c r="A32" t="inlineStr">
        <is>
          <t>WD</t>
        </is>
      </c>
    </row>
    <row r="34">
      <c r="A34" t="inlineStr">
        <is>
          <t>List of Semester</t>
        </is>
      </c>
    </row>
    <row r="35">
      <c r="A35" s="3" t="n">
        <v>4241</v>
      </c>
    </row>
    <row r="36">
      <c r="A36" s="3" t="n">
        <v>4242</v>
      </c>
    </row>
    <row r="37">
      <c r="A37" s="3" t="n">
        <v>4248</v>
      </c>
    </row>
    <row r="39">
      <c r="A39" t="inlineStr">
        <is>
          <t>List of Rounding Method</t>
        </is>
      </c>
    </row>
    <row r="40">
      <c r="A40" t="inlineStr">
        <is>
          <t>Round</t>
        </is>
      </c>
      <c r="B40" t="inlineStr">
        <is>
          <t>49.5-&gt;50</t>
        </is>
      </c>
    </row>
    <row r="41">
      <c r="A41" t="inlineStr">
        <is>
          <t>Floor</t>
        </is>
      </c>
      <c r="B41" t="inlineStr">
        <is>
          <t>50.6-&gt;50</t>
        </is>
      </c>
    </row>
    <row r="42">
      <c r="A42" t="inlineStr">
        <is>
          <t>Ceiling</t>
        </is>
      </c>
      <c r="B42" t="inlineStr">
        <is>
          <t>50.2 -&gt; 51</t>
        </is>
      </c>
    </row>
    <row r="43">
      <c r="A43" t="inlineStr">
        <is>
          <t>None</t>
        </is>
      </c>
    </row>
  </sheetData>
  <pageMargins left="0.7" right="0.7" top="0.75" bottom="0.75" header="0.3" footer="0.3"/>
  <pageSetup orientation="portrait" paperSize="9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3203125" defaultRowHeight="15"/>
  <sheetData/>
  <pageMargins left="0.7" right="0.7" top="0.75" bottom="0.75" header="0.3" footer="0.3"/>
  <pageSetup orientation="portrait" paperSize="9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wtyeung</dc:creator>
  <dcterms:created xmlns:dcterms="http://purl.org/dc/terms/" xmlns:xsi="http://www.w3.org/2001/XMLSchema-instance" xsi:type="dcterms:W3CDTF">2010-12-02T07:06:00Z</dcterms:created>
  <dcterms:modified xmlns:dcterms="http://purl.org/dc/terms/" xmlns:xsi="http://www.w3.org/2001/XMLSchema-instance" xsi:type="dcterms:W3CDTF">2026-05-17T15:24:48Z</dcterms:modified>
  <cp:lastModifiedBy>Hongshan Guo</cp:lastModifiedBy>
</cp:coreProperties>
</file>