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" sheetId="1" r:id="rId5"/>
    <sheet state="visible" name="Weekly" sheetId="2" r:id="rId6"/>
    <sheet state="visible" name="Tutorial" sheetId="3" r:id="rId7"/>
    <sheet state="visible" name="Battlefield" sheetId="4" r:id="rId8"/>
  </sheets>
  <definedNames/>
  <calcPr/>
</workbook>
</file>

<file path=xl/sharedStrings.xml><?xml version="1.0" encoding="utf-8"?>
<sst xmlns="http://schemas.openxmlformats.org/spreadsheetml/2006/main" count="874" uniqueCount="263">
  <si>
    <t>Last Name</t>
  </si>
  <si>
    <t>First Name</t>
  </si>
  <si>
    <t>Email</t>
  </si>
  <si>
    <t>Student #</t>
  </si>
  <si>
    <t>pXX</t>
  </si>
  <si>
    <t>Weekly</t>
  </si>
  <si>
    <t>Tutorial</t>
  </si>
  <si>
    <t>Participation</t>
  </si>
  <si>
    <t>Essay</t>
  </si>
  <si>
    <t>Collage</t>
  </si>
  <si>
    <t>Video</t>
  </si>
  <si>
    <t>Total</t>
  </si>
  <si>
    <t>Notes</t>
  </si>
  <si>
    <t>Essay_HG</t>
  </si>
  <si>
    <t>Collage_HG</t>
  </si>
  <si>
    <t>Video_HG</t>
  </si>
  <si>
    <t>Collage_YT</t>
  </si>
  <si>
    <t>Video_YT</t>
  </si>
  <si>
    <t>collage_VL</t>
  </si>
  <si>
    <t>Video_VL</t>
  </si>
  <si>
    <t>Collage PL</t>
  </si>
  <si>
    <t>Video PL</t>
  </si>
  <si>
    <t>Collage_GC</t>
  </si>
  <si>
    <t>Video_GC</t>
  </si>
  <si>
    <t>Au-Yeung</t>
  </si>
  <si>
    <t>Yung Mei Charlize</t>
  </si>
  <si>
    <t>u3656710@connect.hku.hk</t>
  </si>
  <si>
    <t>361122</t>
  </si>
  <si>
    <t>p23</t>
  </si>
  <si>
    <t>Cheung</t>
  </si>
  <si>
    <t>Hoi Shun Marco</t>
  </si>
  <si>
    <t>u3639608@connect.hku.hk</t>
  </si>
  <si>
    <t>3036396089</t>
  </si>
  <si>
    <t>p41</t>
  </si>
  <si>
    <t>Sum Yau</t>
  </si>
  <si>
    <t>u3659625@connect.hku.hk</t>
  </si>
  <si>
    <t>364674</t>
  </si>
  <si>
    <t>p29</t>
  </si>
  <si>
    <t>Yuen Ki</t>
  </si>
  <si>
    <t>u3660138@connect.hku.hk</t>
  </si>
  <si>
    <t>364699</t>
  </si>
  <si>
    <t>p31</t>
  </si>
  <si>
    <t>Chiang</t>
  </si>
  <si>
    <t>Yu-Xuan</t>
  </si>
  <si>
    <t>u3652747@connect.hku.hk</t>
  </si>
  <si>
    <t>356826</t>
  </si>
  <si>
    <t>p21</t>
  </si>
  <si>
    <t>Chow</t>
  </si>
  <si>
    <t>Chi Kiu</t>
  </si>
  <si>
    <t>u3658271@connect.hku.hk</t>
  </si>
  <si>
    <t>363047</t>
  </si>
  <si>
    <t>p24</t>
  </si>
  <si>
    <t>Chum</t>
  </si>
  <si>
    <t>Chi Yeung</t>
  </si>
  <si>
    <t>u3639342@connect.hku.hk</t>
  </si>
  <si>
    <t>328581</t>
  </si>
  <si>
    <t>p10</t>
  </si>
  <si>
    <t>Feng</t>
  </si>
  <si>
    <t>Shijun</t>
  </si>
  <si>
    <t>u3648430@connect.hku.hk</t>
  </si>
  <si>
    <t>351352</t>
  </si>
  <si>
    <t>p12</t>
  </si>
  <si>
    <t>Fu</t>
  </si>
  <si>
    <t>Ki Chun</t>
  </si>
  <si>
    <t>u3658839@connect.hku.hk</t>
  </si>
  <si>
    <t>3036588395</t>
  </si>
  <si>
    <t>p42</t>
  </si>
  <si>
    <t>Fung</t>
  </si>
  <si>
    <t>Pak Man</t>
  </si>
  <si>
    <t>jfpm23@connect.hku.hk</t>
  </si>
  <si>
    <t>328919</t>
  </si>
  <si>
    <t>p02</t>
  </si>
  <si>
    <t>Gergele</t>
  </si>
  <si>
    <t>Alexandre Olivier Oriol</t>
  </si>
  <si>
    <t>u3667830@connect.hku.hk</t>
  </si>
  <si>
    <t>376517</t>
  </si>
  <si>
    <t>p36</t>
  </si>
  <si>
    <t>Hanusch</t>
  </si>
  <si>
    <t>Benjamin Alfons</t>
  </si>
  <si>
    <t>u3667832@connect.hku.hk</t>
  </si>
  <si>
    <t>376319</t>
  </si>
  <si>
    <t>p37</t>
  </si>
  <si>
    <t>Hua</t>
  </si>
  <si>
    <t>Yanjing</t>
  </si>
  <si>
    <t>u3657330@connect.hku.hk</t>
  </si>
  <si>
    <t>3036573302</t>
  </si>
  <si>
    <t>p44</t>
  </si>
  <si>
    <t>Huang</t>
  </si>
  <si>
    <t>Ze Kai</t>
  </si>
  <si>
    <t>p46</t>
  </si>
  <si>
    <t>Hui</t>
  </si>
  <si>
    <t>Keira Ka Yan</t>
  </si>
  <si>
    <t>u3652727@connect.hku.hk</t>
  </si>
  <si>
    <t>356789</t>
  </si>
  <si>
    <t>p20</t>
  </si>
  <si>
    <t>Hung</t>
  </si>
  <si>
    <t>Hei Yu</t>
  </si>
  <si>
    <t>u3638636@connect.hku.hk</t>
  </si>
  <si>
    <t>327816</t>
  </si>
  <si>
    <t>p09</t>
  </si>
  <si>
    <t>Kanwal</t>
  </si>
  <si>
    <t>Anmol</t>
  </si>
  <si>
    <t>u3605989@connect.hku.hk</t>
  </si>
  <si>
    <t>257025</t>
  </si>
  <si>
    <t>p07</t>
  </si>
  <si>
    <t>Kim</t>
  </si>
  <si>
    <t>Jihoo</t>
  </si>
  <si>
    <t>u3652505@connect.hku.hk</t>
  </si>
  <si>
    <t>356855</t>
  </si>
  <si>
    <t>p19</t>
  </si>
  <si>
    <t>Lahriri</t>
  </si>
  <si>
    <t>Ismael Jibbril Youssef</t>
  </si>
  <si>
    <t>u3667892@connect.hku.hk</t>
  </si>
  <si>
    <t>376403</t>
  </si>
  <si>
    <t>p38</t>
  </si>
  <si>
    <t>Lai</t>
  </si>
  <si>
    <t>Hang Chi</t>
  </si>
  <si>
    <t>lhclai@connect.hku.hk</t>
  </si>
  <si>
    <t>295877</t>
  </si>
  <si>
    <t>p03</t>
  </si>
  <si>
    <t>Lam</t>
  </si>
  <si>
    <t>Jeff Chun Fu</t>
  </si>
  <si>
    <t>u3648459@connect.hku.hk</t>
  </si>
  <si>
    <t>351459</t>
  </si>
  <si>
    <t>p14</t>
  </si>
  <si>
    <t>Lee</t>
  </si>
  <si>
    <t>Hong Kiu Jamie</t>
  </si>
  <si>
    <t>u3659408@connect.hku.hk</t>
  </si>
  <si>
    <t>364088</t>
  </si>
  <si>
    <t>p28</t>
  </si>
  <si>
    <t>Li</t>
  </si>
  <si>
    <t>Wanying</t>
  </si>
  <si>
    <t>u3660456@connect.hku.hk</t>
  </si>
  <si>
    <t>365248</t>
  </si>
  <si>
    <t>p33</t>
  </si>
  <si>
    <t>Lok</t>
  </si>
  <si>
    <t>Chun Man</t>
  </si>
  <si>
    <t>p39</t>
  </si>
  <si>
    <t>Lyakoubi</t>
  </si>
  <si>
    <t>Nour</t>
  </si>
  <si>
    <t>p43</t>
  </si>
  <si>
    <t>Mak</t>
  </si>
  <si>
    <t>Yu Hei</t>
  </si>
  <si>
    <t>u3658380@connect.hku.hk</t>
  </si>
  <si>
    <t>363028</t>
  </si>
  <si>
    <t>p25</t>
  </si>
  <si>
    <t>Mok</t>
  </si>
  <si>
    <t>Hui Cheung Matthew</t>
  </si>
  <si>
    <t>u3662829@connect.hku.hk</t>
  </si>
  <si>
    <t>367928</t>
  </si>
  <si>
    <t>p34</t>
  </si>
  <si>
    <t>Ng</t>
  </si>
  <si>
    <t>Wing Lam</t>
  </si>
  <si>
    <t>u3666642@connect.hku.hk</t>
  </si>
  <si>
    <t>372150</t>
  </si>
  <si>
    <t>p35</t>
  </si>
  <si>
    <t>Ngai</t>
  </si>
  <si>
    <t>Tsz Ho</t>
  </si>
  <si>
    <t>u3658415@connect.hku.hk</t>
  </si>
  <si>
    <t>363110</t>
  </si>
  <si>
    <t>p26</t>
  </si>
  <si>
    <t>Poon</t>
  </si>
  <si>
    <t>Daniel</t>
  </si>
  <si>
    <t>u3651891@connect.hku.hk</t>
  </si>
  <si>
    <t>356878</t>
  </si>
  <si>
    <t>p16</t>
  </si>
  <si>
    <t>Roy</t>
  </si>
  <si>
    <t>Anurag</t>
  </si>
  <si>
    <t>u3646825@connect.hku.hk</t>
  </si>
  <si>
    <t>349345</t>
  </si>
  <si>
    <t>p11</t>
  </si>
  <si>
    <t>Situ</t>
  </si>
  <si>
    <t>Matthew Kang You</t>
  </si>
  <si>
    <t>u3651939@connect.hku.hk</t>
  </si>
  <si>
    <t>356283</t>
  </si>
  <si>
    <t>p17</t>
  </si>
  <si>
    <t>Sy</t>
  </si>
  <si>
    <t>Martina Bianca Roman</t>
  </si>
  <si>
    <t>martina7@connect.hku.hk</t>
  </si>
  <si>
    <t>357632</t>
  </si>
  <si>
    <t>p04</t>
  </si>
  <si>
    <t>Tang</t>
  </si>
  <si>
    <t>Ka Ho</t>
  </si>
  <si>
    <t>tkh0118@connect.hku.hk</t>
  </si>
  <si>
    <t>294341</t>
  </si>
  <si>
    <t>p05</t>
  </si>
  <si>
    <t>Marshall</t>
  </si>
  <si>
    <t>u3659655@connect.hku.hk</t>
  </si>
  <si>
    <t>364463</t>
  </si>
  <si>
    <t>p30</t>
  </si>
  <si>
    <t>Ting</t>
  </si>
  <si>
    <t>Chun Hei</t>
  </si>
  <si>
    <t>u3659024@connect.hku.hk</t>
  </si>
  <si>
    <t>363604</t>
  </si>
  <si>
    <t>p27</t>
  </si>
  <si>
    <t>Tu</t>
  </si>
  <si>
    <t>Shengyi</t>
  </si>
  <si>
    <t>u3632081@connect.hku.hk</t>
  </si>
  <si>
    <t>320482</t>
  </si>
  <si>
    <t>p08</t>
  </si>
  <si>
    <t>Wang</t>
  </si>
  <si>
    <t>Haochen</t>
  </si>
  <si>
    <t>u3660334@connect.hku.hk</t>
  </si>
  <si>
    <t>365179</t>
  </si>
  <si>
    <t>p32</t>
  </si>
  <si>
    <t>Wong</t>
  </si>
  <si>
    <t>Joan Yan Shing</t>
  </si>
  <si>
    <t>u3656704@connect.hku.hk</t>
  </si>
  <si>
    <t>361119</t>
  </si>
  <si>
    <t>p22</t>
  </si>
  <si>
    <t>Tin Hang Anthony</t>
  </si>
  <si>
    <t>u3648455@connect.hku.hk</t>
  </si>
  <si>
    <t>351460</t>
  </si>
  <si>
    <t>p13</t>
  </si>
  <si>
    <t>Xu</t>
  </si>
  <si>
    <t>Shiran</t>
  </si>
  <si>
    <t>u3651949@connect.hku.hk</t>
  </si>
  <si>
    <t>355713</t>
  </si>
  <si>
    <t>p18</t>
  </si>
  <si>
    <t>Yilin</t>
  </si>
  <si>
    <t>u3651948@connect.hku.hk</t>
  </si>
  <si>
    <t>3036519485</t>
  </si>
  <si>
    <t>p45</t>
  </si>
  <si>
    <t>Yeung</t>
  </si>
  <si>
    <t>Jason</t>
  </si>
  <si>
    <t>jasoooon@connect.hku.hk</t>
  </si>
  <si>
    <t>357039</t>
  </si>
  <si>
    <t>p01</t>
  </si>
  <si>
    <t>Yim</t>
  </si>
  <si>
    <t>Tsz Chun</t>
  </si>
  <si>
    <t>u3651572@connect.hku.hk</t>
  </si>
  <si>
    <t>355649</t>
  </si>
  <si>
    <t>p15</t>
  </si>
  <si>
    <t>Yip</t>
  </si>
  <si>
    <t>Hin Wang</t>
  </si>
  <si>
    <t>u3639891@connect.hku.hk</t>
  </si>
  <si>
    <t>3036398910</t>
  </si>
  <si>
    <t>p40</t>
  </si>
  <si>
    <t>Zong</t>
  </si>
  <si>
    <t>u3585608@connect.hku.hk</t>
  </si>
  <si>
    <t>225592</t>
  </si>
  <si>
    <t>p06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</si>
  <si>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</si>
  <si>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</si>
  <si>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</si>
  <si>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</si>
  <si>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</si>
  <si>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</si>
  <si>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</si>
  <si>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</si>
  <si>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</si>
  <si>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</si>
  <si>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</si>
  <si>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</si>
  <si>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Final</t>
  </si>
  <si>
    <t>Score</t>
  </si>
  <si>
    <t>pass</t>
  </si>
  <si>
    <t xml:space="preserve">participates actively in class </t>
  </si>
  <si>
    <t>Here every time, participates actively</t>
  </si>
  <si>
    <t>participates actively in class + Slack chat about homework questions.</t>
  </si>
  <si>
    <t>here most times</t>
  </si>
  <si>
    <t>moderately confused exchange student, emailed that she aparently didnt get the message that tutorials are recurring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</si>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</sst>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1.0"/>
      <color theme="1"/>
      <name val="Calibri"/>
      <scheme val="minor"/>
    </font>
    <font>
      <b/>
      <sz val="11.0"/>
      <color rgb="FFFFFFFF"/>
      <name val="Inter"/>
    </font>
    <font>
      <sz val="11.0"/>
      <color theme="1"/>
      <name val="Inte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4F1EC"/>
        <bgColor rgb="FFF4F1EC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D8D2C8"/>
      </left>
      <right style="thin">
        <color rgb="FFD8D2C8"/>
      </right>
      <top style="thin">
        <color rgb="FFD8D2C8"/>
      </top>
      <bottom style="thin">
        <color rgb="FFD8D2C8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left" vertical="center"/>
    </xf>
    <xf borderId="1" fillId="5" fontId="2" numFmtId="164" xfId="0" applyAlignment="1" applyBorder="1" applyFill="1" applyFont="1" applyNumberForma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61</xdr:row>
      <xdr:rowOff>171450</xdr:rowOff>
    </xdr:from>
    <xdr:ext cx="4867275" cy="1752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142875</xdr:rowOff>
    </xdr:from>
    <xdr:ext cx="4867275" cy="23812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30.0"/>
    <col customWidth="1" min="4" max="4" width="12.0"/>
    <col customWidth="1" min="5" max="5" width="6.0"/>
    <col customWidth="1" hidden="1" min="6" max="7" width="10.0"/>
    <col customWidth="1" hidden="1" min="8" max="8" width="17.71"/>
    <col customWidth="1" hidden="1" min="9" max="12" width="9.0"/>
    <col customWidth="1" hidden="1" min="13" max="13" width="28.0"/>
    <col customWidth="1" hidden="1" min="14" max="14" width="9.0"/>
    <col customWidth="1" min="15" max="16" width="9.0"/>
    <col customWidth="1" min="17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8</v>
      </c>
      <c r="Z1" s="2"/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4"/>
      <c r="G2" s="4"/>
      <c r="H2" s="4"/>
      <c r="I2" s="4"/>
      <c r="J2" s="4"/>
      <c r="K2" s="4"/>
      <c r="L2" s="4">
        <f t="shared" ref="L2:L47" si="1">SUM(F2:K2)</f>
        <v>0</v>
      </c>
      <c r="M2" s="4"/>
      <c r="N2" s="4"/>
      <c r="O2" s="5">
        <v>89.0</v>
      </c>
      <c r="P2" s="5">
        <v>90.0</v>
      </c>
      <c r="Q2" s="5">
        <v>85.0</v>
      </c>
      <c r="R2" s="5">
        <v>91.0</v>
      </c>
      <c r="S2" s="6">
        <v>85.0</v>
      </c>
      <c r="T2" s="6">
        <v>89.0</v>
      </c>
      <c r="U2" s="5">
        <v>85.0</v>
      </c>
      <c r="V2" s="5">
        <v>87.0</v>
      </c>
      <c r="W2" s="6">
        <v>87.0</v>
      </c>
      <c r="X2" s="6">
        <v>92.0</v>
      </c>
      <c r="Y2" s="6">
        <v>87.0</v>
      </c>
    </row>
    <row r="3">
      <c r="A3" s="7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8"/>
      <c r="G3" s="8"/>
      <c r="H3" s="8"/>
      <c r="I3" s="8"/>
      <c r="J3" s="8"/>
      <c r="K3" s="8"/>
      <c r="L3" s="8">
        <f t="shared" si="1"/>
        <v>0</v>
      </c>
      <c r="M3" s="8"/>
      <c r="N3" s="8"/>
      <c r="O3" s="9">
        <v>80.0</v>
      </c>
      <c r="P3" s="9">
        <v>90.0</v>
      </c>
      <c r="Q3" s="6">
        <v>81.0</v>
      </c>
      <c r="R3" s="6">
        <v>90.0</v>
      </c>
      <c r="S3" s="6">
        <v>80.0</v>
      </c>
      <c r="T3" s="6">
        <v>88.0</v>
      </c>
      <c r="U3" s="9">
        <v>79.0</v>
      </c>
      <c r="V3" s="9">
        <v>88.0</v>
      </c>
      <c r="W3" s="6">
        <v>80.0</v>
      </c>
      <c r="X3" s="6">
        <v>93.0</v>
      </c>
      <c r="Y3" s="6">
        <v>84.0</v>
      </c>
    </row>
    <row r="4">
      <c r="A4" s="3" t="s">
        <v>29</v>
      </c>
      <c r="B4" s="3" t="s">
        <v>34</v>
      </c>
      <c r="C4" s="3" t="s">
        <v>35</v>
      </c>
      <c r="D4" s="3" t="s">
        <v>36</v>
      </c>
      <c r="E4" s="3" t="s">
        <v>37</v>
      </c>
      <c r="F4" s="4"/>
      <c r="G4" s="4"/>
      <c r="H4" s="4"/>
      <c r="I4" s="4"/>
      <c r="J4" s="4"/>
      <c r="K4" s="4"/>
      <c r="L4" s="4">
        <f t="shared" si="1"/>
        <v>0</v>
      </c>
      <c r="M4" s="4"/>
      <c r="N4" s="4"/>
      <c r="O4" s="5">
        <v>87.0</v>
      </c>
      <c r="P4" s="5">
        <v>86.0</v>
      </c>
      <c r="Q4" s="5">
        <v>88.0</v>
      </c>
      <c r="R4" s="5">
        <v>90.0</v>
      </c>
      <c r="S4" s="6">
        <v>86.0</v>
      </c>
      <c r="T4" s="6">
        <v>88.0</v>
      </c>
      <c r="U4" s="5">
        <v>80.0</v>
      </c>
      <c r="V4" s="5">
        <v>87.0</v>
      </c>
      <c r="W4" s="6">
        <v>85.0</v>
      </c>
      <c r="X4" s="6">
        <v>88.0</v>
      </c>
      <c r="Y4" s="6">
        <v>84.0</v>
      </c>
    </row>
    <row r="5">
      <c r="A5" s="7" t="s">
        <v>29</v>
      </c>
      <c r="B5" s="7" t="s">
        <v>38</v>
      </c>
      <c r="C5" s="7" t="s">
        <v>39</v>
      </c>
      <c r="D5" s="7" t="s">
        <v>40</v>
      </c>
      <c r="E5" s="7" t="s">
        <v>41</v>
      </c>
      <c r="F5" s="8"/>
      <c r="G5" s="8"/>
      <c r="H5" s="8"/>
      <c r="I5" s="8"/>
      <c r="J5" s="8"/>
      <c r="K5" s="8"/>
      <c r="L5" s="8">
        <f t="shared" si="1"/>
        <v>0</v>
      </c>
      <c r="M5" s="8"/>
      <c r="N5" s="8"/>
      <c r="O5" s="9">
        <v>83.0</v>
      </c>
      <c r="P5" s="9">
        <v>90.0</v>
      </c>
      <c r="Q5" s="6">
        <v>78.0</v>
      </c>
      <c r="R5" s="6">
        <v>85.0</v>
      </c>
      <c r="S5" s="6">
        <v>79.0</v>
      </c>
      <c r="T5" s="6">
        <v>85.0</v>
      </c>
      <c r="U5" s="9">
        <v>78.0</v>
      </c>
      <c r="V5" s="9">
        <v>87.0</v>
      </c>
      <c r="W5" s="6">
        <v>77.0</v>
      </c>
      <c r="X5" s="6">
        <v>85.0</v>
      </c>
      <c r="Y5" s="6">
        <v>90.0</v>
      </c>
    </row>
    <row r="6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4"/>
      <c r="G6" s="4"/>
      <c r="H6" s="4"/>
      <c r="I6" s="4"/>
      <c r="J6" s="4"/>
      <c r="K6" s="4"/>
      <c r="L6" s="4">
        <f t="shared" si="1"/>
        <v>0</v>
      </c>
      <c r="M6" s="4"/>
      <c r="N6" s="4"/>
      <c r="O6" s="5">
        <v>91.0</v>
      </c>
      <c r="P6" s="5">
        <v>92.0</v>
      </c>
      <c r="Q6" s="5">
        <v>88.0</v>
      </c>
      <c r="R6" s="5">
        <v>87.0</v>
      </c>
      <c r="S6" s="6">
        <v>88.0</v>
      </c>
      <c r="T6" s="6">
        <v>89.0</v>
      </c>
      <c r="U6" s="5">
        <v>85.0</v>
      </c>
      <c r="V6" s="5">
        <v>88.0</v>
      </c>
      <c r="W6" s="6">
        <v>84.0</v>
      </c>
      <c r="X6" s="6">
        <v>87.0</v>
      </c>
      <c r="Y6" s="6">
        <v>85.0</v>
      </c>
    </row>
    <row r="7">
      <c r="A7" s="7" t="s">
        <v>47</v>
      </c>
      <c r="B7" s="7" t="s">
        <v>48</v>
      </c>
      <c r="C7" s="7" t="s">
        <v>49</v>
      </c>
      <c r="D7" s="7" t="s">
        <v>50</v>
      </c>
      <c r="E7" s="7" t="s">
        <v>51</v>
      </c>
      <c r="F7" s="8"/>
      <c r="G7" s="8"/>
      <c r="H7" s="8"/>
      <c r="I7" s="8"/>
      <c r="J7" s="8"/>
      <c r="K7" s="8"/>
      <c r="L7" s="8">
        <f t="shared" si="1"/>
        <v>0</v>
      </c>
      <c r="M7" s="8"/>
      <c r="N7" s="8"/>
      <c r="O7" s="9">
        <v>82.0</v>
      </c>
      <c r="P7" s="9">
        <v>86.0</v>
      </c>
      <c r="Q7" s="6">
        <v>79.0</v>
      </c>
      <c r="R7" s="6">
        <v>85.0</v>
      </c>
      <c r="S7" s="6">
        <v>79.0</v>
      </c>
      <c r="T7" s="6">
        <v>85.0</v>
      </c>
      <c r="U7" s="9">
        <v>78.0</v>
      </c>
      <c r="V7" s="9">
        <v>85.0</v>
      </c>
      <c r="W7" s="6">
        <v>79.0</v>
      </c>
      <c r="X7" s="6">
        <v>83.0</v>
      </c>
      <c r="Y7" s="6">
        <v>88.0</v>
      </c>
    </row>
    <row r="8">
      <c r="A8" s="3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4"/>
      <c r="G8" s="4"/>
      <c r="H8" s="4"/>
      <c r="I8" s="4"/>
      <c r="J8" s="4"/>
      <c r="K8" s="4"/>
      <c r="L8" s="4">
        <f t="shared" si="1"/>
        <v>0</v>
      </c>
      <c r="M8" s="4"/>
      <c r="N8" s="4"/>
      <c r="O8" s="5">
        <v>85.0</v>
      </c>
      <c r="P8" s="5">
        <v>78.0</v>
      </c>
      <c r="Q8" s="6">
        <v>82.0</v>
      </c>
      <c r="R8" s="6">
        <v>80.0</v>
      </c>
      <c r="S8" s="6">
        <v>80.0</v>
      </c>
      <c r="T8" s="6">
        <v>79.0</v>
      </c>
      <c r="U8" s="5">
        <v>85.0</v>
      </c>
      <c r="V8" s="5">
        <v>78.0</v>
      </c>
      <c r="W8" s="6">
        <v>85.0</v>
      </c>
      <c r="X8" s="6">
        <v>80.0</v>
      </c>
      <c r="Y8" s="6">
        <v>84.0</v>
      </c>
    </row>
    <row r="9">
      <c r="A9" s="7" t="s">
        <v>57</v>
      </c>
      <c r="B9" s="7" t="s">
        <v>58</v>
      </c>
      <c r="C9" s="7" t="s">
        <v>59</v>
      </c>
      <c r="D9" s="7" t="s">
        <v>60</v>
      </c>
      <c r="E9" s="7" t="s">
        <v>61</v>
      </c>
      <c r="F9" s="8"/>
      <c r="G9" s="8"/>
      <c r="H9" s="8"/>
      <c r="I9" s="8"/>
      <c r="J9" s="8"/>
      <c r="K9" s="8"/>
      <c r="L9" s="8">
        <f t="shared" si="1"/>
        <v>0</v>
      </c>
      <c r="M9" s="8"/>
      <c r="N9" s="8"/>
      <c r="O9" s="9">
        <v>88.0</v>
      </c>
      <c r="P9" s="9">
        <v>86.0</v>
      </c>
      <c r="Q9" s="6">
        <v>86.0</v>
      </c>
      <c r="R9" s="6">
        <v>86.0</v>
      </c>
      <c r="S9" s="6">
        <v>80.0</v>
      </c>
      <c r="T9" s="6">
        <v>86.0</v>
      </c>
      <c r="U9" s="9">
        <v>80.0</v>
      </c>
      <c r="V9" s="9">
        <v>85.0</v>
      </c>
      <c r="W9" s="6">
        <v>85.0</v>
      </c>
      <c r="X9" s="6">
        <v>85.0</v>
      </c>
      <c r="Y9" s="6">
        <v>83.0</v>
      </c>
    </row>
    <row r="10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4"/>
      <c r="G10" s="4"/>
      <c r="H10" s="4"/>
      <c r="I10" s="4"/>
      <c r="J10" s="4"/>
      <c r="K10" s="4"/>
      <c r="L10" s="4">
        <f t="shared" si="1"/>
        <v>0</v>
      </c>
      <c r="M10" s="4"/>
      <c r="N10" s="4"/>
      <c r="O10" s="5">
        <v>87.0</v>
      </c>
      <c r="P10" s="5">
        <v>86.0</v>
      </c>
      <c r="Q10" s="6">
        <v>84.0</v>
      </c>
      <c r="R10" s="6">
        <v>86.0</v>
      </c>
      <c r="S10" s="6">
        <v>86.0</v>
      </c>
      <c r="T10" s="6">
        <v>89.0</v>
      </c>
      <c r="U10" s="5">
        <v>85.0</v>
      </c>
      <c r="V10" s="5">
        <v>83.0</v>
      </c>
      <c r="W10" s="6">
        <v>85.0</v>
      </c>
      <c r="X10" s="6">
        <v>86.0</v>
      </c>
      <c r="Y10" s="6">
        <v>95.0</v>
      </c>
    </row>
    <row r="11">
      <c r="A11" s="7" t="s">
        <v>67</v>
      </c>
      <c r="B11" s="7" t="s">
        <v>68</v>
      </c>
      <c r="C11" s="7" t="s">
        <v>69</v>
      </c>
      <c r="D11" s="7" t="s">
        <v>70</v>
      </c>
      <c r="E11" s="7" t="s">
        <v>71</v>
      </c>
      <c r="F11" s="8"/>
      <c r="G11" s="8"/>
      <c r="H11" s="8"/>
      <c r="I11" s="8"/>
      <c r="J11" s="8"/>
      <c r="K11" s="8"/>
      <c r="L11" s="8">
        <f t="shared" si="1"/>
        <v>0</v>
      </c>
      <c r="M11" s="8"/>
      <c r="N11" s="8"/>
      <c r="O11" s="9">
        <v>90.0</v>
      </c>
      <c r="P11" s="9">
        <v>90.0</v>
      </c>
      <c r="Q11" s="6">
        <v>82.0</v>
      </c>
      <c r="R11" s="6">
        <v>90.0</v>
      </c>
      <c r="S11" s="6">
        <v>85.0</v>
      </c>
      <c r="T11" s="6">
        <v>90.0</v>
      </c>
      <c r="U11" s="9">
        <v>82.0</v>
      </c>
      <c r="V11" s="9">
        <v>90.0</v>
      </c>
      <c r="W11" s="6">
        <v>85.0</v>
      </c>
      <c r="X11" s="6">
        <v>87.0</v>
      </c>
      <c r="Y11" s="6">
        <v>91.0</v>
      </c>
    </row>
    <row r="12">
      <c r="A12" s="3" t="s">
        <v>72</v>
      </c>
      <c r="B12" s="3" t="s">
        <v>73</v>
      </c>
      <c r="C12" s="3" t="s">
        <v>74</v>
      </c>
      <c r="D12" s="3" t="s">
        <v>75</v>
      </c>
      <c r="E12" s="3" t="s">
        <v>76</v>
      </c>
      <c r="F12" s="4"/>
      <c r="G12" s="4"/>
      <c r="H12" s="4"/>
      <c r="I12" s="4"/>
      <c r="J12" s="4"/>
      <c r="K12" s="4"/>
      <c r="L12" s="4">
        <f t="shared" si="1"/>
        <v>0</v>
      </c>
      <c r="M12" s="4"/>
      <c r="N12" s="4"/>
      <c r="O12" s="5">
        <v>90.0</v>
      </c>
      <c r="P12" s="5">
        <v>93.0</v>
      </c>
      <c r="Q12" s="6">
        <v>88.0</v>
      </c>
      <c r="R12" s="6">
        <v>87.0</v>
      </c>
      <c r="S12" s="6">
        <v>88.0</v>
      </c>
      <c r="T12" s="6">
        <v>90.0</v>
      </c>
      <c r="U12" s="5">
        <v>87.0</v>
      </c>
      <c r="V12" s="5">
        <v>87.0</v>
      </c>
      <c r="W12" s="6">
        <v>90.0</v>
      </c>
      <c r="X12" s="6">
        <v>92.0</v>
      </c>
      <c r="Y12" s="6">
        <v>83.0</v>
      </c>
    </row>
    <row r="13">
      <c r="A13" s="7" t="s">
        <v>77</v>
      </c>
      <c r="B13" s="7" t="s">
        <v>78</v>
      </c>
      <c r="C13" s="7" t="s">
        <v>79</v>
      </c>
      <c r="D13" s="7" t="s">
        <v>80</v>
      </c>
      <c r="E13" s="7" t="s">
        <v>81</v>
      </c>
      <c r="F13" s="8"/>
      <c r="G13" s="8"/>
      <c r="H13" s="8"/>
      <c r="I13" s="8"/>
      <c r="J13" s="8"/>
      <c r="K13" s="8"/>
      <c r="L13" s="8">
        <f t="shared" si="1"/>
        <v>0</v>
      </c>
      <c r="M13" s="8"/>
      <c r="N13" s="8"/>
      <c r="O13" s="9">
        <v>84.0</v>
      </c>
      <c r="P13" s="9">
        <v>84.0</v>
      </c>
      <c r="Q13" s="6">
        <v>82.0</v>
      </c>
      <c r="R13" s="6">
        <v>85.0</v>
      </c>
      <c r="S13" s="6">
        <v>84.0</v>
      </c>
      <c r="T13" s="6">
        <v>87.0</v>
      </c>
      <c r="U13" s="9">
        <v>86.0</v>
      </c>
      <c r="V13" s="9">
        <v>85.0</v>
      </c>
      <c r="W13" s="6">
        <v>80.0</v>
      </c>
      <c r="X13" s="6">
        <v>85.0</v>
      </c>
      <c r="Y13" s="6">
        <v>88.0</v>
      </c>
    </row>
    <row r="14">
      <c r="A14" s="3" t="s">
        <v>82</v>
      </c>
      <c r="B14" s="3" t="s">
        <v>83</v>
      </c>
      <c r="C14" s="3" t="s">
        <v>84</v>
      </c>
      <c r="D14" s="3" t="s">
        <v>85</v>
      </c>
      <c r="E14" s="3" t="s">
        <v>86</v>
      </c>
      <c r="F14" s="4"/>
      <c r="G14" s="4"/>
      <c r="H14" s="4"/>
      <c r="I14" s="4"/>
      <c r="J14" s="4"/>
      <c r="K14" s="4"/>
      <c r="L14" s="4">
        <f t="shared" si="1"/>
        <v>0</v>
      </c>
      <c r="M14" s="4"/>
      <c r="N14" s="4"/>
      <c r="O14" s="5">
        <v>89.0</v>
      </c>
      <c r="P14" s="5">
        <v>88.0</v>
      </c>
      <c r="Q14" s="6">
        <v>84.0</v>
      </c>
      <c r="R14" s="6">
        <v>90.0</v>
      </c>
      <c r="S14" s="6">
        <v>85.0</v>
      </c>
      <c r="T14" s="6">
        <v>85.0</v>
      </c>
      <c r="U14" s="5">
        <v>86.0</v>
      </c>
      <c r="V14" s="5">
        <v>86.0</v>
      </c>
      <c r="W14" s="6">
        <v>90.0</v>
      </c>
      <c r="X14" s="6">
        <v>90.0</v>
      </c>
      <c r="Y14" s="6">
        <v>83.0</v>
      </c>
    </row>
    <row r="15">
      <c r="A15" s="7" t="s">
        <v>87</v>
      </c>
      <c r="B15" s="7" t="s">
        <v>88</v>
      </c>
      <c r="C15" s="7"/>
      <c r="D15" s="7"/>
      <c r="E15" s="7" t="s">
        <v>89</v>
      </c>
      <c r="F15" s="8"/>
      <c r="G15" s="8"/>
      <c r="H15" s="8"/>
      <c r="I15" s="8"/>
      <c r="J15" s="8"/>
      <c r="K15" s="8"/>
      <c r="L15" s="8">
        <f t="shared" si="1"/>
        <v>0</v>
      </c>
      <c r="M15" s="8"/>
      <c r="N15" s="8"/>
      <c r="O15" s="9">
        <v>82.0</v>
      </c>
      <c r="P15" s="9">
        <v>81.0</v>
      </c>
      <c r="Q15" s="6">
        <v>78.0</v>
      </c>
      <c r="R15" s="6">
        <v>82.0</v>
      </c>
      <c r="S15" s="6">
        <v>80.0</v>
      </c>
      <c r="T15" s="6">
        <v>83.0</v>
      </c>
      <c r="U15" s="9">
        <v>78.0</v>
      </c>
      <c r="V15" s="9">
        <v>86.0</v>
      </c>
      <c r="W15" s="6">
        <v>80.0</v>
      </c>
      <c r="X15" s="6">
        <v>82.0</v>
      </c>
    </row>
    <row r="16">
      <c r="A16" s="3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4"/>
      <c r="G16" s="4"/>
      <c r="H16" s="4"/>
      <c r="I16" s="4"/>
      <c r="J16" s="4"/>
      <c r="K16" s="4"/>
      <c r="L16" s="4">
        <f t="shared" si="1"/>
        <v>0</v>
      </c>
      <c r="M16" s="4"/>
      <c r="N16" s="4"/>
      <c r="O16" s="5">
        <v>90.0</v>
      </c>
      <c r="P16" s="5">
        <v>87.0</v>
      </c>
      <c r="Q16" s="6">
        <v>82.0</v>
      </c>
      <c r="R16" s="6">
        <v>90.0</v>
      </c>
      <c r="S16" s="6">
        <v>83.0</v>
      </c>
      <c r="T16" s="6">
        <v>90.0</v>
      </c>
      <c r="U16" s="5">
        <v>87.0</v>
      </c>
      <c r="V16" s="5">
        <v>87.0</v>
      </c>
      <c r="W16" s="6">
        <v>90.0</v>
      </c>
      <c r="X16" s="6">
        <v>87.0</v>
      </c>
    </row>
    <row r="17">
      <c r="A17" s="7" t="s">
        <v>95</v>
      </c>
      <c r="B17" s="7" t="s">
        <v>96</v>
      </c>
      <c r="C17" s="7" t="s">
        <v>97</v>
      </c>
      <c r="D17" s="7" t="s">
        <v>98</v>
      </c>
      <c r="E17" s="7" t="s">
        <v>99</v>
      </c>
      <c r="F17" s="8"/>
      <c r="G17" s="8"/>
      <c r="H17" s="8"/>
      <c r="I17" s="8"/>
      <c r="J17" s="8"/>
      <c r="K17" s="8"/>
      <c r="L17" s="8">
        <f t="shared" si="1"/>
        <v>0</v>
      </c>
      <c r="M17" s="8"/>
      <c r="N17" s="8"/>
      <c r="O17" s="9">
        <v>88.0</v>
      </c>
      <c r="P17" s="9">
        <v>90.0</v>
      </c>
      <c r="Q17" s="6">
        <v>84.0</v>
      </c>
      <c r="R17" s="6">
        <v>88.0</v>
      </c>
      <c r="S17" s="6">
        <v>85.0</v>
      </c>
      <c r="T17" s="6">
        <v>89.0</v>
      </c>
      <c r="U17" s="9">
        <v>83.0</v>
      </c>
      <c r="V17" s="9">
        <v>86.0</v>
      </c>
      <c r="W17" s="6">
        <v>90.0</v>
      </c>
      <c r="X17" s="6">
        <v>91.0</v>
      </c>
    </row>
    <row r="18">
      <c r="A18" s="3" t="s">
        <v>100</v>
      </c>
      <c r="B18" s="3" t="s">
        <v>101</v>
      </c>
      <c r="C18" s="3" t="s">
        <v>102</v>
      </c>
      <c r="D18" s="3" t="s">
        <v>103</v>
      </c>
      <c r="E18" s="3" t="s">
        <v>104</v>
      </c>
      <c r="F18" s="4"/>
      <c r="G18" s="4"/>
      <c r="H18" s="4"/>
      <c r="I18" s="4"/>
      <c r="J18" s="4"/>
      <c r="K18" s="4"/>
      <c r="L18" s="4">
        <f t="shared" si="1"/>
        <v>0</v>
      </c>
      <c r="M18" s="4"/>
      <c r="N18" s="4"/>
      <c r="O18" s="5">
        <v>90.0</v>
      </c>
      <c r="P18" s="5">
        <v>90.0</v>
      </c>
      <c r="Q18" s="6">
        <v>85.0</v>
      </c>
      <c r="R18" s="6">
        <v>88.0</v>
      </c>
      <c r="S18" s="6">
        <v>88.0</v>
      </c>
      <c r="T18" s="6">
        <v>88.0</v>
      </c>
      <c r="U18" s="5">
        <v>85.0</v>
      </c>
      <c r="V18" s="5">
        <v>87.0</v>
      </c>
      <c r="W18" s="6">
        <v>89.0</v>
      </c>
      <c r="X18" s="6">
        <v>88.0</v>
      </c>
      <c r="Y18" s="6">
        <v>90.0</v>
      </c>
    </row>
    <row r="19">
      <c r="A19" s="7" t="s">
        <v>105</v>
      </c>
      <c r="B19" s="7" t="s">
        <v>106</v>
      </c>
      <c r="C19" s="7" t="s">
        <v>107</v>
      </c>
      <c r="D19" s="7" t="s">
        <v>108</v>
      </c>
      <c r="E19" s="7" t="s">
        <v>109</v>
      </c>
      <c r="F19" s="8"/>
      <c r="G19" s="8"/>
      <c r="H19" s="8"/>
      <c r="I19" s="8"/>
      <c r="J19" s="8"/>
      <c r="K19" s="8"/>
      <c r="L19" s="8">
        <f t="shared" si="1"/>
        <v>0</v>
      </c>
      <c r="M19" s="8"/>
      <c r="N19" s="8"/>
      <c r="O19" s="9">
        <v>87.0</v>
      </c>
      <c r="P19" s="9">
        <v>86.0</v>
      </c>
      <c r="Q19" s="6">
        <v>87.0</v>
      </c>
      <c r="R19" s="6">
        <v>90.0</v>
      </c>
      <c r="S19" s="6">
        <v>84.0</v>
      </c>
      <c r="T19" s="6">
        <v>86.0</v>
      </c>
      <c r="U19" s="9">
        <v>79.0</v>
      </c>
      <c r="V19" s="9">
        <v>86.0</v>
      </c>
      <c r="W19" s="6">
        <v>84.0</v>
      </c>
      <c r="X19" s="6">
        <v>84.0</v>
      </c>
      <c r="Y19" s="6">
        <v>84.0</v>
      </c>
    </row>
    <row r="20">
      <c r="A20" s="3" t="s">
        <v>110</v>
      </c>
      <c r="B20" s="3" t="s">
        <v>111</v>
      </c>
      <c r="C20" s="3" t="s">
        <v>112</v>
      </c>
      <c r="D20" s="3" t="s">
        <v>113</v>
      </c>
      <c r="E20" s="3" t="s">
        <v>114</v>
      </c>
      <c r="F20" s="4"/>
      <c r="G20" s="4"/>
      <c r="H20" s="4"/>
      <c r="I20" s="4"/>
      <c r="J20" s="4"/>
      <c r="K20" s="4"/>
      <c r="L20" s="4">
        <f t="shared" si="1"/>
        <v>0</v>
      </c>
      <c r="M20" s="4"/>
      <c r="N20" s="4"/>
      <c r="O20" s="5">
        <v>86.0</v>
      </c>
      <c r="P20" s="5">
        <v>83.0</v>
      </c>
      <c r="Q20" s="6">
        <v>80.0</v>
      </c>
      <c r="R20" s="6">
        <v>82.0</v>
      </c>
      <c r="S20" s="6">
        <v>85.0</v>
      </c>
      <c r="T20" s="6">
        <v>84.0</v>
      </c>
      <c r="U20" s="5">
        <v>85.0</v>
      </c>
      <c r="V20" s="9">
        <v>80.0</v>
      </c>
      <c r="W20" s="6">
        <v>80.0</v>
      </c>
      <c r="X20" s="6">
        <v>82.0</v>
      </c>
      <c r="Y20" s="6">
        <v>84.0</v>
      </c>
    </row>
    <row r="21" ht="15.75" customHeight="1">
      <c r="A21" s="7" t="s">
        <v>115</v>
      </c>
      <c r="B21" s="7" t="s">
        <v>116</v>
      </c>
      <c r="C21" s="7" t="s">
        <v>117</v>
      </c>
      <c r="D21" s="7" t="s">
        <v>118</v>
      </c>
      <c r="E21" s="7" t="s">
        <v>119</v>
      </c>
      <c r="F21" s="8"/>
      <c r="G21" s="8"/>
      <c r="H21" s="8"/>
      <c r="I21" s="8"/>
      <c r="J21" s="8"/>
      <c r="K21" s="8"/>
      <c r="L21" s="8">
        <f t="shared" si="1"/>
        <v>0</v>
      </c>
      <c r="M21" s="8"/>
      <c r="N21" s="8"/>
      <c r="O21" s="9">
        <v>85.0</v>
      </c>
      <c r="P21" s="9">
        <v>86.0</v>
      </c>
      <c r="Q21" s="6">
        <v>83.0</v>
      </c>
      <c r="R21" s="6">
        <v>80.0</v>
      </c>
      <c r="S21" s="6">
        <v>85.0</v>
      </c>
      <c r="T21" s="6">
        <v>83.0</v>
      </c>
      <c r="U21" s="9">
        <v>85.0</v>
      </c>
      <c r="V21" s="9">
        <v>85.0</v>
      </c>
      <c r="W21" s="6">
        <v>83.0</v>
      </c>
      <c r="X21" s="6">
        <v>80.0</v>
      </c>
    </row>
    <row r="22" ht="15.75" customHeight="1">
      <c r="A22" s="3" t="s">
        <v>120</v>
      </c>
      <c r="B22" s="3" t="s">
        <v>121</v>
      </c>
      <c r="C22" s="3" t="s">
        <v>122</v>
      </c>
      <c r="D22" s="3" t="s">
        <v>123</v>
      </c>
      <c r="E22" s="3" t="s">
        <v>124</v>
      </c>
      <c r="F22" s="4"/>
      <c r="G22" s="4"/>
      <c r="H22" s="4"/>
      <c r="I22" s="4"/>
      <c r="J22" s="4"/>
      <c r="K22" s="4"/>
      <c r="L22" s="4">
        <f t="shared" si="1"/>
        <v>0</v>
      </c>
      <c r="M22" s="4"/>
      <c r="N22" s="4"/>
      <c r="O22" s="5">
        <v>89.0</v>
      </c>
      <c r="P22" s="5">
        <v>92.0</v>
      </c>
      <c r="Q22" s="6">
        <v>83.0</v>
      </c>
      <c r="R22" s="6">
        <v>90.0</v>
      </c>
      <c r="S22" s="6">
        <v>88.0</v>
      </c>
      <c r="T22" s="6">
        <v>92.0</v>
      </c>
      <c r="U22" s="5">
        <v>87.0</v>
      </c>
      <c r="V22" s="5">
        <v>90.0</v>
      </c>
      <c r="W22" s="6">
        <v>89.0</v>
      </c>
      <c r="X22" s="6">
        <v>92.0</v>
      </c>
      <c r="Y22" s="6">
        <v>80.0</v>
      </c>
    </row>
    <row r="23" ht="15.75" customHeight="1">
      <c r="A23" s="7" t="s">
        <v>125</v>
      </c>
      <c r="B23" s="7" t="s">
        <v>126</v>
      </c>
      <c r="C23" s="7" t="s">
        <v>127</v>
      </c>
      <c r="D23" s="7" t="s">
        <v>128</v>
      </c>
      <c r="E23" s="7" t="s">
        <v>129</v>
      </c>
      <c r="F23" s="8"/>
      <c r="G23" s="8"/>
      <c r="H23" s="8"/>
      <c r="I23" s="8"/>
      <c r="J23" s="8"/>
      <c r="K23" s="8"/>
      <c r="L23" s="8">
        <f t="shared" si="1"/>
        <v>0</v>
      </c>
      <c r="M23" s="8"/>
      <c r="N23" s="8"/>
      <c r="O23" s="9">
        <v>86.0</v>
      </c>
      <c r="P23" s="9">
        <v>91.0</v>
      </c>
      <c r="Q23" s="6">
        <v>87.0</v>
      </c>
      <c r="R23" s="6">
        <v>92.0</v>
      </c>
      <c r="S23" s="6">
        <v>88.0</v>
      </c>
      <c r="T23" s="6">
        <v>88.0</v>
      </c>
      <c r="U23" s="9">
        <v>87.0</v>
      </c>
      <c r="V23" s="9">
        <v>90.0</v>
      </c>
      <c r="W23" s="6">
        <v>85.0</v>
      </c>
      <c r="X23" s="6">
        <v>90.0</v>
      </c>
    </row>
    <row r="24" ht="15.75" customHeight="1">
      <c r="A24" s="3" t="s">
        <v>130</v>
      </c>
      <c r="B24" s="3" t="s">
        <v>131</v>
      </c>
      <c r="C24" s="3" t="s">
        <v>132</v>
      </c>
      <c r="D24" s="3" t="s">
        <v>133</v>
      </c>
      <c r="E24" s="3" t="s">
        <v>134</v>
      </c>
      <c r="F24" s="4"/>
      <c r="G24" s="4"/>
      <c r="H24" s="4"/>
      <c r="I24" s="4"/>
      <c r="J24" s="4"/>
      <c r="K24" s="4"/>
      <c r="L24" s="4">
        <f t="shared" si="1"/>
        <v>0</v>
      </c>
      <c r="M24" s="4"/>
      <c r="N24" s="4"/>
      <c r="O24" s="5">
        <v>83.0</v>
      </c>
      <c r="P24" s="5">
        <v>86.0</v>
      </c>
      <c r="Q24" s="6">
        <v>83.0</v>
      </c>
      <c r="R24" s="6">
        <v>88.0</v>
      </c>
      <c r="S24" s="6">
        <v>85.0</v>
      </c>
      <c r="T24" s="6">
        <v>93.0</v>
      </c>
      <c r="U24" s="5">
        <v>85.0</v>
      </c>
      <c r="V24" s="5">
        <v>92.0</v>
      </c>
      <c r="W24" s="6">
        <v>84.0</v>
      </c>
      <c r="X24" s="6">
        <v>94.0</v>
      </c>
      <c r="Y24" s="6">
        <v>83.0</v>
      </c>
    </row>
    <row r="25" ht="15.75" customHeight="1">
      <c r="A25" s="7" t="s">
        <v>135</v>
      </c>
      <c r="B25" s="7" t="s">
        <v>136</v>
      </c>
      <c r="C25" s="7"/>
      <c r="D25" s="7"/>
      <c r="E25" s="7" t="s">
        <v>137</v>
      </c>
      <c r="F25" s="8"/>
      <c r="G25" s="8"/>
      <c r="H25" s="8"/>
      <c r="I25" s="8"/>
      <c r="J25" s="8"/>
      <c r="K25" s="8"/>
      <c r="L25" s="8">
        <f t="shared" si="1"/>
        <v>0</v>
      </c>
      <c r="M25" s="8"/>
      <c r="N25" s="8"/>
      <c r="O25" s="9">
        <v>82.0</v>
      </c>
      <c r="P25" s="9">
        <v>85.0</v>
      </c>
      <c r="Q25" s="6">
        <v>77.0</v>
      </c>
      <c r="R25" s="6">
        <v>87.0</v>
      </c>
      <c r="S25" s="6">
        <v>81.0</v>
      </c>
      <c r="T25" s="6">
        <v>85.0</v>
      </c>
      <c r="U25" s="9">
        <v>82.0</v>
      </c>
      <c r="V25" s="9">
        <v>85.0</v>
      </c>
      <c r="W25" s="6">
        <v>85.0</v>
      </c>
      <c r="X25" s="6">
        <v>86.0</v>
      </c>
    </row>
    <row r="26" ht="15.75" customHeight="1">
      <c r="A26" s="3" t="s">
        <v>138</v>
      </c>
      <c r="B26" s="3" t="s">
        <v>139</v>
      </c>
      <c r="C26" s="3"/>
      <c r="D26" s="3"/>
      <c r="E26" s="3" t="s">
        <v>140</v>
      </c>
      <c r="F26" s="4"/>
      <c r="G26" s="4"/>
      <c r="H26" s="4"/>
      <c r="I26" s="4"/>
      <c r="J26" s="4"/>
      <c r="K26" s="4"/>
      <c r="L26" s="4">
        <f t="shared" si="1"/>
        <v>0</v>
      </c>
      <c r="M26" s="4"/>
      <c r="N26" s="4"/>
      <c r="O26" s="5">
        <v>88.0</v>
      </c>
      <c r="P26" s="5">
        <v>95.0</v>
      </c>
      <c r="Q26" s="6">
        <v>85.0</v>
      </c>
      <c r="R26" s="6">
        <v>92.0</v>
      </c>
      <c r="S26" s="6">
        <v>80.0</v>
      </c>
      <c r="T26" s="6">
        <v>93.0</v>
      </c>
      <c r="U26" s="5">
        <v>86.0</v>
      </c>
      <c r="V26" s="5">
        <v>92.0</v>
      </c>
      <c r="W26" s="6">
        <v>85.0</v>
      </c>
      <c r="X26" s="6">
        <v>92.0</v>
      </c>
    </row>
    <row r="27" ht="15.75" customHeight="1">
      <c r="A27" s="7" t="s">
        <v>141</v>
      </c>
      <c r="B27" s="7" t="s">
        <v>142</v>
      </c>
      <c r="C27" s="7" t="s">
        <v>143</v>
      </c>
      <c r="D27" s="7" t="s">
        <v>144</v>
      </c>
      <c r="E27" s="7" t="s">
        <v>145</v>
      </c>
      <c r="F27" s="8"/>
      <c r="G27" s="8"/>
      <c r="H27" s="8"/>
      <c r="I27" s="8"/>
      <c r="J27" s="8"/>
      <c r="K27" s="8"/>
      <c r="L27" s="8">
        <f t="shared" si="1"/>
        <v>0</v>
      </c>
      <c r="M27" s="8"/>
      <c r="N27" s="8"/>
      <c r="O27" s="9">
        <v>88.0</v>
      </c>
      <c r="P27" s="9">
        <v>86.0</v>
      </c>
      <c r="Q27" s="6">
        <v>86.0</v>
      </c>
      <c r="R27" s="6">
        <v>84.0</v>
      </c>
      <c r="S27" s="6">
        <v>88.0</v>
      </c>
      <c r="T27" s="6">
        <v>85.0</v>
      </c>
      <c r="U27" s="9">
        <v>85.0</v>
      </c>
      <c r="V27" s="9">
        <v>83.0</v>
      </c>
      <c r="W27" s="6">
        <v>88.0</v>
      </c>
      <c r="X27" s="6">
        <v>80.0</v>
      </c>
      <c r="Y27" s="6">
        <v>88.0</v>
      </c>
    </row>
    <row r="28" ht="15.75" customHeight="1">
      <c r="A28" s="3" t="s">
        <v>146</v>
      </c>
      <c r="B28" s="3" t="s">
        <v>147</v>
      </c>
      <c r="C28" s="3" t="s">
        <v>148</v>
      </c>
      <c r="D28" s="3" t="s">
        <v>149</v>
      </c>
      <c r="E28" s="3" t="s">
        <v>150</v>
      </c>
      <c r="F28" s="4"/>
      <c r="G28" s="4"/>
      <c r="H28" s="4"/>
      <c r="I28" s="4"/>
      <c r="J28" s="4"/>
      <c r="K28" s="4"/>
      <c r="L28" s="4">
        <f t="shared" si="1"/>
        <v>0</v>
      </c>
      <c r="M28" s="4"/>
      <c r="N28" s="4"/>
      <c r="O28" s="5">
        <v>93.0</v>
      </c>
      <c r="P28" s="5">
        <v>87.0</v>
      </c>
      <c r="Q28" s="6">
        <v>83.0</v>
      </c>
      <c r="R28" s="6">
        <v>89.0</v>
      </c>
      <c r="S28" s="6">
        <v>90.0</v>
      </c>
      <c r="T28" s="6">
        <v>90.0</v>
      </c>
      <c r="U28" s="5">
        <v>85.0</v>
      </c>
      <c r="V28" s="5">
        <v>87.0</v>
      </c>
      <c r="W28" s="6">
        <v>90.0</v>
      </c>
      <c r="X28" s="6">
        <v>89.0</v>
      </c>
      <c r="Y28" s="6">
        <v>90.0</v>
      </c>
    </row>
    <row r="29" ht="15.75" customHeight="1">
      <c r="A29" s="7" t="s">
        <v>151</v>
      </c>
      <c r="B29" s="7" t="s">
        <v>152</v>
      </c>
      <c r="C29" s="7" t="s">
        <v>153</v>
      </c>
      <c r="D29" s="7" t="s">
        <v>154</v>
      </c>
      <c r="E29" s="7" t="s">
        <v>155</v>
      </c>
      <c r="F29" s="8"/>
      <c r="G29" s="8"/>
      <c r="H29" s="8"/>
      <c r="I29" s="8"/>
      <c r="J29" s="8"/>
      <c r="K29" s="8"/>
      <c r="L29" s="8">
        <f t="shared" si="1"/>
        <v>0</v>
      </c>
      <c r="M29" s="8"/>
      <c r="N29" s="8"/>
      <c r="O29" s="9">
        <v>83.0</v>
      </c>
      <c r="P29" s="9">
        <v>93.0</v>
      </c>
      <c r="Q29" s="6">
        <v>88.0</v>
      </c>
      <c r="R29" s="6">
        <v>90.0</v>
      </c>
      <c r="S29" s="6">
        <v>88.0</v>
      </c>
      <c r="T29" s="6">
        <v>90.0</v>
      </c>
      <c r="U29" s="9">
        <v>84.0</v>
      </c>
      <c r="V29" s="9">
        <v>87.0</v>
      </c>
      <c r="W29" s="6">
        <v>85.0</v>
      </c>
      <c r="X29" s="6">
        <v>90.0</v>
      </c>
    </row>
    <row r="30" ht="15.75" customHeight="1">
      <c r="A30" s="3" t="s">
        <v>156</v>
      </c>
      <c r="B30" s="3" t="s">
        <v>157</v>
      </c>
      <c r="C30" s="3" t="s">
        <v>158</v>
      </c>
      <c r="D30" s="3" t="s">
        <v>159</v>
      </c>
      <c r="E30" s="3" t="s">
        <v>160</v>
      </c>
      <c r="F30" s="4"/>
      <c r="G30" s="4"/>
      <c r="H30" s="4"/>
      <c r="I30" s="4"/>
      <c r="J30" s="4"/>
      <c r="K30" s="4"/>
      <c r="L30" s="4">
        <f t="shared" si="1"/>
        <v>0</v>
      </c>
      <c r="M30" s="4"/>
      <c r="N30" s="4"/>
      <c r="O30" s="5">
        <v>82.0</v>
      </c>
      <c r="P30" s="5">
        <v>81.0</v>
      </c>
      <c r="Q30" s="6">
        <v>86.0</v>
      </c>
      <c r="R30" s="6">
        <v>81.0</v>
      </c>
      <c r="S30" s="6">
        <v>86.0</v>
      </c>
      <c r="T30" s="6">
        <v>87.0</v>
      </c>
      <c r="U30" s="5">
        <v>83.0</v>
      </c>
      <c r="V30" s="5">
        <v>84.0</v>
      </c>
      <c r="W30" s="6">
        <v>89.0</v>
      </c>
      <c r="X30" s="6">
        <v>84.0</v>
      </c>
    </row>
    <row r="31" ht="15.75" customHeight="1">
      <c r="A31" s="7" t="s">
        <v>161</v>
      </c>
      <c r="B31" s="7" t="s">
        <v>162</v>
      </c>
      <c r="C31" s="7" t="s">
        <v>163</v>
      </c>
      <c r="D31" s="7" t="s">
        <v>164</v>
      </c>
      <c r="E31" s="7" t="s">
        <v>165</v>
      </c>
      <c r="F31" s="8"/>
      <c r="G31" s="8"/>
      <c r="H31" s="8"/>
      <c r="I31" s="8"/>
      <c r="J31" s="8"/>
      <c r="K31" s="8"/>
      <c r="L31" s="8">
        <f t="shared" si="1"/>
        <v>0</v>
      </c>
      <c r="M31" s="8"/>
      <c r="N31" s="8"/>
      <c r="O31" s="9">
        <v>86.0</v>
      </c>
      <c r="P31" s="9">
        <v>90.0</v>
      </c>
      <c r="Q31" s="6">
        <v>85.0</v>
      </c>
      <c r="R31" s="6">
        <v>90.0</v>
      </c>
      <c r="S31" s="6">
        <v>80.0</v>
      </c>
      <c r="T31" s="6">
        <v>85.0</v>
      </c>
      <c r="U31" s="9">
        <v>78.0</v>
      </c>
      <c r="V31" s="9">
        <v>80.0</v>
      </c>
      <c r="W31" s="6">
        <v>84.0</v>
      </c>
      <c r="X31" s="6">
        <v>87.0</v>
      </c>
    </row>
    <row r="32" ht="15.75" customHeight="1">
      <c r="A32" s="3" t="s">
        <v>166</v>
      </c>
      <c r="B32" s="3" t="s">
        <v>167</v>
      </c>
      <c r="C32" s="3" t="s">
        <v>168</v>
      </c>
      <c r="D32" s="3" t="s">
        <v>169</v>
      </c>
      <c r="E32" s="3" t="s">
        <v>170</v>
      </c>
      <c r="F32" s="4"/>
      <c r="G32" s="4"/>
      <c r="H32" s="4"/>
      <c r="I32" s="4"/>
      <c r="J32" s="4"/>
      <c r="K32" s="4"/>
      <c r="L32" s="4">
        <f t="shared" si="1"/>
        <v>0</v>
      </c>
      <c r="M32" s="4"/>
      <c r="N32" s="4"/>
      <c r="O32" s="5">
        <v>88.0</v>
      </c>
      <c r="P32" s="5">
        <v>93.0</v>
      </c>
      <c r="Q32" s="6">
        <v>83.0</v>
      </c>
      <c r="R32" s="6">
        <v>90.0</v>
      </c>
      <c r="S32" s="6">
        <v>83.0</v>
      </c>
      <c r="T32" s="6">
        <v>88.0</v>
      </c>
      <c r="U32" s="5">
        <v>85.0</v>
      </c>
      <c r="V32" s="5">
        <v>89.0</v>
      </c>
      <c r="W32" s="6">
        <v>83.0</v>
      </c>
      <c r="X32" s="6">
        <v>89.0</v>
      </c>
      <c r="Y32" s="6">
        <v>83.0</v>
      </c>
    </row>
    <row r="33" ht="15.75" customHeight="1">
      <c r="A33" s="7" t="s">
        <v>171</v>
      </c>
      <c r="B33" s="7" t="s">
        <v>172</v>
      </c>
      <c r="C33" s="7" t="s">
        <v>173</v>
      </c>
      <c r="D33" s="7" t="s">
        <v>174</v>
      </c>
      <c r="E33" s="7" t="s">
        <v>175</v>
      </c>
      <c r="F33" s="8"/>
      <c r="G33" s="8"/>
      <c r="H33" s="8"/>
      <c r="I33" s="8"/>
      <c r="J33" s="8"/>
      <c r="K33" s="8"/>
      <c r="L33" s="8">
        <f t="shared" si="1"/>
        <v>0</v>
      </c>
      <c r="M33" s="8"/>
      <c r="N33" s="8"/>
      <c r="O33" s="9">
        <v>83.0</v>
      </c>
      <c r="P33" s="9">
        <v>90.0</v>
      </c>
      <c r="Q33" s="6">
        <v>89.0</v>
      </c>
      <c r="R33" s="6">
        <v>90.0</v>
      </c>
      <c r="S33" s="6">
        <v>87.0</v>
      </c>
      <c r="T33" s="6">
        <v>90.0</v>
      </c>
      <c r="U33" s="9">
        <v>84.0</v>
      </c>
      <c r="V33" s="9">
        <v>87.0</v>
      </c>
      <c r="W33" s="6">
        <v>84.0</v>
      </c>
      <c r="X33" s="6">
        <v>89.0</v>
      </c>
    </row>
    <row r="34" ht="15.75" customHeight="1">
      <c r="A34" s="3" t="s">
        <v>176</v>
      </c>
      <c r="B34" s="3" t="s">
        <v>177</v>
      </c>
      <c r="C34" s="3" t="s">
        <v>178</v>
      </c>
      <c r="D34" s="3" t="s">
        <v>179</v>
      </c>
      <c r="E34" s="3" t="s">
        <v>180</v>
      </c>
      <c r="F34" s="4"/>
      <c r="G34" s="4"/>
      <c r="H34" s="4"/>
      <c r="I34" s="4"/>
      <c r="J34" s="4"/>
      <c r="K34" s="4"/>
      <c r="L34" s="4">
        <f t="shared" si="1"/>
        <v>0</v>
      </c>
      <c r="M34" s="4"/>
      <c r="N34" s="4"/>
      <c r="O34" s="5">
        <v>87.0</v>
      </c>
      <c r="P34" s="5">
        <v>91.0</v>
      </c>
      <c r="Q34" s="6">
        <v>86.0</v>
      </c>
      <c r="R34" s="6">
        <v>88.0</v>
      </c>
      <c r="S34" s="6">
        <v>87.0</v>
      </c>
      <c r="T34" s="6">
        <v>88.0</v>
      </c>
      <c r="U34" s="5">
        <v>86.0</v>
      </c>
      <c r="V34" s="5">
        <v>86.0</v>
      </c>
      <c r="W34" s="6">
        <v>87.0</v>
      </c>
      <c r="X34" s="6">
        <v>88.0</v>
      </c>
    </row>
    <row r="35" ht="15.75" customHeight="1">
      <c r="A35" s="7" t="s">
        <v>181</v>
      </c>
      <c r="B35" s="7" t="s">
        <v>182</v>
      </c>
      <c r="C35" s="7" t="s">
        <v>183</v>
      </c>
      <c r="D35" s="7" t="s">
        <v>184</v>
      </c>
      <c r="E35" s="7" t="s">
        <v>185</v>
      </c>
      <c r="F35" s="8"/>
      <c r="G35" s="9"/>
      <c r="H35" s="8"/>
      <c r="I35" s="8"/>
      <c r="J35" s="8"/>
      <c r="K35" s="8"/>
      <c r="L35" s="8">
        <f t="shared" si="1"/>
        <v>0</v>
      </c>
      <c r="M35" s="8"/>
      <c r="N35" s="8"/>
      <c r="O35" s="9">
        <v>80.0</v>
      </c>
      <c r="P35" s="9">
        <v>82.0</v>
      </c>
      <c r="Q35" s="6">
        <v>75.0</v>
      </c>
      <c r="R35" s="6">
        <v>80.0</v>
      </c>
      <c r="S35" s="6">
        <v>80.0</v>
      </c>
      <c r="T35" s="6">
        <v>83.0</v>
      </c>
      <c r="U35" s="9">
        <v>75.0</v>
      </c>
      <c r="V35" s="9">
        <v>82.0</v>
      </c>
      <c r="W35" s="6">
        <v>78.0</v>
      </c>
      <c r="X35" s="6">
        <v>78.0</v>
      </c>
    </row>
    <row r="36" ht="15.75" customHeight="1">
      <c r="A36" s="3" t="s">
        <v>181</v>
      </c>
      <c r="B36" s="3" t="s">
        <v>186</v>
      </c>
      <c r="C36" s="3" t="s">
        <v>187</v>
      </c>
      <c r="D36" s="3" t="s">
        <v>188</v>
      </c>
      <c r="E36" s="3" t="s">
        <v>189</v>
      </c>
      <c r="F36" s="4"/>
      <c r="G36" s="4"/>
      <c r="H36" s="4"/>
      <c r="I36" s="4"/>
      <c r="J36" s="4"/>
      <c r="K36" s="4"/>
      <c r="L36" s="4">
        <f t="shared" si="1"/>
        <v>0</v>
      </c>
      <c r="M36" s="4"/>
      <c r="N36" s="4"/>
      <c r="O36" s="5">
        <v>89.0</v>
      </c>
      <c r="P36" s="5">
        <v>88.0</v>
      </c>
      <c r="Q36" s="6">
        <v>89.0</v>
      </c>
      <c r="R36" s="6">
        <v>88.0</v>
      </c>
      <c r="S36" s="6">
        <v>83.0</v>
      </c>
      <c r="T36" s="6">
        <v>88.0</v>
      </c>
      <c r="U36" s="5">
        <v>81.0</v>
      </c>
      <c r="V36" s="5">
        <v>89.0</v>
      </c>
      <c r="W36" s="6">
        <v>88.0</v>
      </c>
      <c r="X36" s="6">
        <v>84.0</v>
      </c>
      <c r="Y36" s="6">
        <v>86.0</v>
      </c>
    </row>
    <row r="37" ht="15.75" customHeight="1">
      <c r="A37" s="7" t="s">
        <v>190</v>
      </c>
      <c r="B37" s="7" t="s">
        <v>191</v>
      </c>
      <c r="C37" s="7" t="s">
        <v>192</v>
      </c>
      <c r="D37" s="7" t="s">
        <v>193</v>
      </c>
      <c r="E37" s="7" t="s">
        <v>194</v>
      </c>
      <c r="F37" s="8"/>
      <c r="G37" s="9"/>
      <c r="H37" s="8"/>
      <c r="I37" s="8"/>
      <c r="J37" s="8"/>
      <c r="K37" s="8"/>
      <c r="L37" s="8">
        <f t="shared" si="1"/>
        <v>0</v>
      </c>
      <c r="M37" s="8"/>
      <c r="N37" s="8"/>
      <c r="O37" s="9">
        <v>80.0</v>
      </c>
      <c r="P37" s="9">
        <v>83.0</v>
      </c>
      <c r="Q37" s="6">
        <v>79.0</v>
      </c>
      <c r="R37" s="6">
        <v>83.0</v>
      </c>
      <c r="S37" s="6">
        <v>79.0</v>
      </c>
      <c r="T37" s="6">
        <v>83.0</v>
      </c>
      <c r="U37" s="9">
        <v>83.0</v>
      </c>
      <c r="V37" s="9">
        <v>88.0</v>
      </c>
      <c r="W37" s="6">
        <v>81.0</v>
      </c>
      <c r="X37" s="6">
        <v>89.0</v>
      </c>
    </row>
    <row r="38" ht="15.75" customHeight="1">
      <c r="A38" s="3" t="s">
        <v>195</v>
      </c>
      <c r="B38" s="3" t="s">
        <v>196</v>
      </c>
      <c r="C38" s="3" t="s">
        <v>197</v>
      </c>
      <c r="D38" s="3" t="s">
        <v>198</v>
      </c>
      <c r="E38" s="3" t="s">
        <v>199</v>
      </c>
      <c r="F38" s="4"/>
      <c r="G38" s="4"/>
      <c r="H38" s="4"/>
      <c r="I38" s="4"/>
      <c r="J38" s="4"/>
      <c r="K38" s="4"/>
      <c r="L38" s="4">
        <f t="shared" si="1"/>
        <v>0</v>
      </c>
      <c r="M38" s="4"/>
      <c r="N38" s="4"/>
      <c r="O38" s="5">
        <v>90.0</v>
      </c>
      <c r="P38" s="5">
        <v>85.0</v>
      </c>
      <c r="Q38" s="6">
        <v>86.0</v>
      </c>
      <c r="R38" s="6">
        <v>85.0</v>
      </c>
      <c r="S38" s="6">
        <v>88.0</v>
      </c>
      <c r="T38" s="6">
        <v>85.0</v>
      </c>
      <c r="U38" s="5">
        <v>86.0</v>
      </c>
      <c r="V38" s="5">
        <v>80.0</v>
      </c>
      <c r="W38" s="6">
        <v>86.0</v>
      </c>
      <c r="X38" s="6">
        <v>80.0</v>
      </c>
      <c r="Y38" s="6">
        <v>85.0</v>
      </c>
    </row>
    <row r="39" ht="15.75" customHeight="1">
      <c r="A39" s="7" t="s">
        <v>200</v>
      </c>
      <c r="B39" s="7" t="s">
        <v>201</v>
      </c>
      <c r="C39" s="7" t="s">
        <v>202</v>
      </c>
      <c r="D39" s="7" t="s">
        <v>203</v>
      </c>
      <c r="E39" s="7" t="s">
        <v>204</v>
      </c>
      <c r="F39" s="8"/>
      <c r="G39" s="8"/>
      <c r="H39" s="8"/>
      <c r="I39" s="8"/>
      <c r="J39" s="8"/>
      <c r="K39" s="8"/>
      <c r="L39" s="8">
        <f t="shared" si="1"/>
        <v>0</v>
      </c>
      <c r="M39" s="8"/>
      <c r="N39" s="8"/>
      <c r="O39" s="9">
        <v>88.0</v>
      </c>
      <c r="P39" s="9">
        <v>85.0</v>
      </c>
      <c r="Q39" s="6">
        <v>85.0</v>
      </c>
      <c r="R39" s="6">
        <v>86.0</v>
      </c>
      <c r="S39" s="6">
        <v>83.0</v>
      </c>
      <c r="T39" s="6">
        <v>85.0</v>
      </c>
      <c r="U39" s="9">
        <v>84.0</v>
      </c>
      <c r="V39" s="9">
        <v>88.0</v>
      </c>
      <c r="W39" s="6">
        <v>85.0</v>
      </c>
      <c r="X39" s="6">
        <v>85.0</v>
      </c>
    </row>
    <row r="40" ht="15.75" customHeight="1">
      <c r="A40" s="3" t="s">
        <v>205</v>
      </c>
      <c r="B40" s="3" t="s">
        <v>206</v>
      </c>
      <c r="C40" s="3" t="s">
        <v>207</v>
      </c>
      <c r="D40" s="3" t="s">
        <v>208</v>
      </c>
      <c r="E40" s="3" t="s">
        <v>209</v>
      </c>
      <c r="F40" s="4"/>
      <c r="G40" s="4"/>
      <c r="H40" s="4"/>
      <c r="I40" s="4"/>
      <c r="J40" s="4"/>
      <c r="K40" s="4"/>
      <c r="L40" s="4">
        <f t="shared" si="1"/>
        <v>0</v>
      </c>
      <c r="M40" s="4"/>
      <c r="N40" s="4"/>
      <c r="O40" s="5">
        <v>85.0</v>
      </c>
      <c r="P40" s="5">
        <v>88.0</v>
      </c>
      <c r="Q40" s="6">
        <v>79.0</v>
      </c>
      <c r="R40" s="6">
        <v>85.0</v>
      </c>
      <c r="S40" s="6">
        <v>79.0</v>
      </c>
      <c r="T40" s="6">
        <v>85.0</v>
      </c>
      <c r="U40" s="5">
        <v>82.0</v>
      </c>
      <c r="V40" s="5">
        <v>85.0</v>
      </c>
      <c r="W40" s="6">
        <v>80.0</v>
      </c>
      <c r="X40" s="6">
        <v>83.0</v>
      </c>
      <c r="Y40" s="6">
        <v>81.0</v>
      </c>
    </row>
    <row r="41" ht="15.75" customHeight="1">
      <c r="A41" s="7" t="s">
        <v>205</v>
      </c>
      <c r="B41" s="7" t="s">
        <v>210</v>
      </c>
      <c r="C41" s="7" t="s">
        <v>211</v>
      </c>
      <c r="D41" s="7" t="s">
        <v>212</v>
      </c>
      <c r="E41" s="7" t="s">
        <v>213</v>
      </c>
      <c r="F41" s="8"/>
      <c r="G41" s="8"/>
      <c r="H41" s="8"/>
      <c r="I41" s="8"/>
      <c r="J41" s="8"/>
      <c r="K41" s="8"/>
      <c r="L41" s="8">
        <f t="shared" si="1"/>
        <v>0</v>
      </c>
      <c r="M41" s="8"/>
      <c r="N41" s="8"/>
      <c r="O41" s="9">
        <v>82.0</v>
      </c>
      <c r="P41" s="9">
        <v>86.0</v>
      </c>
      <c r="Q41" s="6">
        <v>80.0</v>
      </c>
      <c r="R41" s="6">
        <v>86.0</v>
      </c>
      <c r="S41" s="6">
        <v>83.0</v>
      </c>
      <c r="T41" s="6">
        <v>85.0</v>
      </c>
      <c r="U41" s="9">
        <v>79.0</v>
      </c>
      <c r="V41" s="9">
        <v>88.0</v>
      </c>
      <c r="W41" s="6">
        <v>85.0</v>
      </c>
      <c r="X41" s="6">
        <v>86.0</v>
      </c>
      <c r="Y41" s="6">
        <v>80.0</v>
      </c>
    </row>
    <row r="42" ht="15.75" customHeight="1">
      <c r="A42" s="3" t="s">
        <v>214</v>
      </c>
      <c r="B42" s="3" t="s">
        <v>215</v>
      </c>
      <c r="C42" s="3" t="s">
        <v>216</v>
      </c>
      <c r="D42" s="3" t="s">
        <v>217</v>
      </c>
      <c r="E42" s="3" t="s">
        <v>218</v>
      </c>
      <c r="F42" s="4"/>
      <c r="G42" s="4"/>
      <c r="H42" s="4"/>
      <c r="I42" s="4"/>
      <c r="J42" s="4"/>
      <c r="K42" s="4"/>
      <c r="L42" s="4">
        <f t="shared" si="1"/>
        <v>0</v>
      </c>
      <c r="M42" s="4"/>
      <c r="N42" s="4"/>
      <c r="O42" s="5">
        <v>87.0</v>
      </c>
      <c r="P42" s="5">
        <v>86.0</v>
      </c>
      <c r="Q42" s="6">
        <v>86.0</v>
      </c>
      <c r="R42" s="6">
        <v>85.0</v>
      </c>
      <c r="S42" s="6">
        <v>87.0</v>
      </c>
      <c r="T42" s="6">
        <v>89.0</v>
      </c>
      <c r="U42" s="5">
        <v>84.0</v>
      </c>
      <c r="V42" s="5">
        <v>87.0</v>
      </c>
      <c r="W42" s="6">
        <v>85.0</v>
      </c>
      <c r="X42" s="6">
        <v>85.0</v>
      </c>
      <c r="Y42" s="6">
        <v>88.0</v>
      </c>
    </row>
    <row r="43" ht="15.75" customHeight="1">
      <c r="A43" s="7" t="s">
        <v>214</v>
      </c>
      <c r="B43" s="7" t="s">
        <v>219</v>
      </c>
      <c r="C43" s="7" t="s">
        <v>220</v>
      </c>
      <c r="D43" s="7" t="s">
        <v>221</v>
      </c>
      <c r="E43" s="7" t="s">
        <v>222</v>
      </c>
      <c r="F43" s="8"/>
      <c r="G43" s="8"/>
      <c r="H43" s="8"/>
      <c r="I43" s="8"/>
      <c r="J43" s="8"/>
      <c r="K43" s="8"/>
      <c r="L43" s="8">
        <f t="shared" si="1"/>
        <v>0</v>
      </c>
      <c r="M43" s="8"/>
      <c r="N43" s="8"/>
      <c r="O43" s="9">
        <v>84.0</v>
      </c>
      <c r="P43" s="9">
        <v>80.0</v>
      </c>
      <c r="Q43" s="6">
        <v>80.0</v>
      </c>
      <c r="R43" s="6">
        <v>80.0</v>
      </c>
      <c r="S43" s="6">
        <v>80.0</v>
      </c>
      <c r="T43" s="6">
        <v>80.0</v>
      </c>
      <c r="U43" s="9">
        <v>78.0</v>
      </c>
      <c r="V43" s="9">
        <v>76.0</v>
      </c>
      <c r="W43" s="6">
        <v>76.0</v>
      </c>
      <c r="X43" s="6">
        <v>79.0</v>
      </c>
    </row>
    <row r="44" ht="15.75" customHeight="1">
      <c r="A44" s="3" t="s">
        <v>223</v>
      </c>
      <c r="B44" s="3" t="s">
        <v>224</v>
      </c>
      <c r="C44" s="3" t="s">
        <v>225</v>
      </c>
      <c r="D44" s="3" t="s">
        <v>226</v>
      </c>
      <c r="E44" s="3" t="s">
        <v>227</v>
      </c>
      <c r="F44" s="4"/>
      <c r="G44" s="4"/>
      <c r="H44" s="4"/>
      <c r="I44" s="4"/>
      <c r="J44" s="4"/>
      <c r="K44" s="4"/>
      <c r="L44" s="4">
        <f t="shared" si="1"/>
        <v>0</v>
      </c>
      <c r="M44" s="4"/>
      <c r="N44" s="4"/>
      <c r="O44" s="5">
        <v>83.0</v>
      </c>
      <c r="P44" s="5">
        <v>87.0</v>
      </c>
      <c r="Q44" s="6">
        <v>85.0</v>
      </c>
      <c r="R44" s="6">
        <v>89.0</v>
      </c>
      <c r="S44" s="6">
        <v>86.0</v>
      </c>
      <c r="T44" s="6">
        <v>87.0</v>
      </c>
      <c r="U44" s="5">
        <v>82.0</v>
      </c>
      <c r="V44" s="5">
        <v>84.0</v>
      </c>
      <c r="W44" s="6">
        <v>80.0</v>
      </c>
      <c r="X44" s="6">
        <v>86.0</v>
      </c>
      <c r="Y44" s="6">
        <v>84.0</v>
      </c>
    </row>
    <row r="45" ht="15.75" customHeight="1">
      <c r="A45" s="7" t="s">
        <v>228</v>
      </c>
      <c r="B45" s="7" t="s">
        <v>229</v>
      </c>
      <c r="C45" s="7" t="s">
        <v>230</v>
      </c>
      <c r="D45" s="7" t="s">
        <v>231</v>
      </c>
      <c r="E45" s="7" t="s">
        <v>232</v>
      </c>
      <c r="F45" s="8"/>
      <c r="G45" s="8"/>
      <c r="H45" s="8"/>
      <c r="I45" s="8"/>
      <c r="J45" s="8"/>
      <c r="K45" s="8"/>
      <c r="L45" s="8">
        <f t="shared" si="1"/>
        <v>0</v>
      </c>
      <c r="M45" s="8"/>
      <c r="N45" s="8"/>
      <c r="O45" s="9">
        <v>80.0</v>
      </c>
      <c r="P45" s="9">
        <v>84.0</v>
      </c>
      <c r="Q45" s="6">
        <v>85.0</v>
      </c>
      <c r="R45" s="6">
        <v>87.0</v>
      </c>
      <c r="S45" s="6">
        <v>80.0</v>
      </c>
      <c r="T45" s="6">
        <v>85.0</v>
      </c>
      <c r="U45" s="9">
        <v>79.0</v>
      </c>
      <c r="V45" s="9">
        <v>85.0</v>
      </c>
      <c r="W45" s="6">
        <v>80.0</v>
      </c>
      <c r="X45" s="6">
        <v>82.0</v>
      </c>
    </row>
    <row r="46" ht="15.75" customHeight="1">
      <c r="A46" s="3" t="s">
        <v>233</v>
      </c>
      <c r="B46" s="3" t="s">
        <v>234</v>
      </c>
      <c r="C46" s="3" t="s">
        <v>235</v>
      </c>
      <c r="D46" s="3" t="s">
        <v>236</v>
      </c>
      <c r="E46" s="3" t="s">
        <v>237</v>
      </c>
      <c r="F46" s="4"/>
      <c r="G46" s="5"/>
      <c r="H46" s="4"/>
      <c r="I46" s="4"/>
      <c r="J46" s="4"/>
      <c r="K46" s="4"/>
      <c r="L46" s="4">
        <f t="shared" si="1"/>
        <v>0</v>
      </c>
      <c r="M46" s="4"/>
      <c r="N46" s="4"/>
      <c r="O46" s="5">
        <v>75.0</v>
      </c>
      <c r="P46" s="5">
        <v>86.0</v>
      </c>
      <c r="Q46" s="6">
        <v>75.0</v>
      </c>
      <c r="R46" s="6">
        <v>87.0</v>
      </c>
      <c r="S46" s="6">
        <v>78.0</v>
      </c>
      <c r="T46" s="6">
        <v>87.0</v>
      </c>
      <c r="U46" s="5">
        <v>80.0</v>
      </c>
      <c r="V46" s="5">
        <v>85.0</v>
      </c>
      <c r="W46" s="6">
        <v>78.0</v>
      </c>
      <c r="X46" s="6">
        <v>89.0</v>
      </c>
    </row>
    <row r="47" ht="15.75" customHeight="1">
      <c r="A47" s="7" t="s">
        <v>238</v>
      </c>
      <c r="B47" s="7" t="s">
        <v>82</v>
      </c>
      <c r="C47" s="7" t="s">
        <v>239</v>
      </c>
      <c r="D47" s="7" t="s">
        <v>240</v>
      </c>
      <c r="E47" s="7" t="s">
        <v>241</v>
      </c>
      <c r="F47" s="8"/>
      <c r="G47" s="8"/>
      <c r="H47" s="8"/>
      <c r="I47" s="8"/>
      <c r="J47" s="8"/>
      <c r="K47" s="8"/>
      <c r="L47" s="8">
        <f t="shared" si="1"/>
        <v>0</v>
      </c>
      <c r="M47" s="8"/>
      <c r="N47" s="8"/>
      <c r="O47" s="9">
        <v>82.0</v>
      </c>
      <c r="P47" s="9">
        <v>87.0</v>
      </c>
      <c r="Q47" s="6">
        <v>80.0</v>
      </c>
      <c r="R47" s="6">
        <v>85.0</v>
      </c>
      <c r="S47" s="6">
        <v>83.0</v>
      </c>
      <c r="T47" s="6">
        <v>85.0</v>
      </c>
      <c r="U47" s="6">
        <v>80.0</v>
      </c>
      <c r="V47" s="6">
        <v>86.0</v>
      </c>
      <c r="W47" s="6">
        <v>80.0</v>
      </c>
      <c r="X47" s="6">
        <v>84.0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30.0"/>
    <col customWidth="1" min="4" max="4" width="6.0"/>
    <col customWidth="1" hidden="1" min="5" max="5" width="6.0"/>
    <col customWidth="1" min="6" max="15" width="6.0"/>
    <col customWidth="1" hidden="1" min="16" max="16" width="6.0"/>
    <col customWidth="1" min="17" max="17" width="7.0"/>
    <col customWidth="1" min="18" max="18" width="9.0"/>
    <col customWidth="1" min="19" max="27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  <c r="Q1" s="2" t="s">
        <v>254</v>
      </c>
      <c r="R1" s="1" t="s">
        <v>11</v>
      </c>
    </row>
    <row r="2">
      <c r="A2" s="3" t="s">
        <v>24</v>
      </c>
      <c r="B2" s="3" t="s">
        <v>25</v>
      </c>
      <c r="C2" s="3" t="s">
        <v>26</v>
      </c>
      <c r="D2" s="3" t="s">
        <v>28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>
        <v>90.0</v>
      </c>
      <c r="R2" s="4">
        <f>SUM(E2:Q2)</f>
        <v>90</v>
      </c>
    </row>
    <row r="3">
      <c r="A3" s="7" t="s">
        <v>29</v>
      </c>
      <c r="B3" s="7" t="s">
        <v>30</v>
      </c>
      <c r="C3" s="7" t="s">
        <v>31</v>
      </c>
      <c r="D3" s="7" t="s">
        <v>33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>
        <f t="shared" ref="R3:R12" si="1">SUM(E3:P3)</f>
        <v>0</v>
      </c>
    </row>
    <row r="4">
      <c r="A4" s="3" t="s">
        <v>29</v>
      </c>
      <c r="B4" s="3" t="s">
        <v>34</v>
      </c>
      <c r="C4" s="3" t="s">
        <v>35</v>
      </c>
      <c r="D4" s="3" t="s">
        <v>37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>
        <f t="shared" si="1"/>
        <v>0</v>
      </c>
    </row>
    <row r="5">
      <c r="A5" s="7" t="s">
        <v>29</v>
      </c>
      <c r="B5" s="7" t="s">
        <v>38</v>
      </c>
      <c r="C5" s="7" t="s">
        <v>39</v>
      </c>
      <c r="D5" s="10" t="s">
        <v>41</v>
      </c>
      <c r="E5" s="8"/>
      <c r="F5" s="9">
        <v>95.0</v>
      </c>
      <c r="G5" s="9">
        <v>85.0</v>
      </c>
      <c r="H5" s="9">
        <v>90.0</v>
      </c>
      <c r="I5" s="9">
        <v>84.0</v>
      </c>
      <c r="J5" s="9">
        <v>88.0</v>
      </c>
      <c r="K5" s="9">
        <v>80.0</v>
      </c>
      <c r="L5" s="9">
        <v>85.0</v>
      </c>
      <c r="M5" s="9">
        <v>80.0</v>
      </c>
      <c r="N5" s="9">
        <v>80.0</v>
      </c>
      <c r="O5" s="9">
        <v>80.0</v>
      </c>
      <c r="P5" s="8"/>
      <c r="Q5" s="8"/>
      <c r="R5" s="8">
        <f t="shared" si="1"/>
        <v>847</v>
      </c>
    </row>
    <row r="6">
      <c r="A6" s="3" t="s">
        <v>42</v>
      </c>
      <c r="B6" s="3" t="s">
        <v>43</v>
      </c>
      <c r="C6" s="3" t="s">
        <v>44</v>
      </c>
      <c r="D6" s="3" t="s">
        <v>46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>
        <f t="shared" si="1"/>
        <v>0</v>
      </c>
    </row>
    <row r="7">
      <c r="A7" s="7" t="s">
        <v>47</v>
      </c>
      <c r="B7" s="7" t="s">
        <v>48</v>
      </c>
      <c r="C7" s="7" t="s">
        <v>49</v>
      </c>
      <c r="D7" s="7" t="s">
        <v>51</v>
      </c>
      <c r="E7" s="8"/>
      <c r="F7" s="8"/>
      <c r="G7" s="8"/>
      <c r="H7" s="8"/>
      <c r="I7" s="8"/>
      <c r="J7" s="8"/>
      <c r="K7" s="8"/>
      <c r="L7" s="8"/>
      <c r="M7" s="9">
        <v>80.0</v>
      </c>
      <c r="N7" s="9">
        <v>83.0</v>
      </c>
      <c r="O7" s="9">
        <v>80.0</v>
      </c>
      <c r="P7" s="8"/>
      <c r="Q7" s="8"/>
      <c r="R7" s="8">
        <f t="shared" si="1"/>
        <v>243</v>
      </c>
    </row>
    <row r="8">
      <c r="A8" s="3" t="s">
        <v>52</v>
      </c>
      <c r="B8" s="3" t="s">
        <v>53</v>
      </c>
      <c r="C8" s="3" t="s">
        <v>54</v>
      </c>
      <c r="D8" s="3" t="s">
        <v>56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>
        <f t="shared" si="1"/>
        <v>0</v>
      </c>
    </row>
    <row r="9">
      <c r="A9" s="7" t="s">
        <v>57</v>
      </c>
      <c r="B9" s="7" t="s">
        <v>58</v>
      </c>
      <c r="C9" s="7" t="s">
        <v>59</v>
      </c>
      <c r="D9" s="7" t="s">
        <v>61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>
        <f t="shared" si="1"/>
        <v>0</v>
      </c>
    </row>
    <row r="10">
      <c r="A10" s="3" t="s">
        <v>62</v>
      </c>
      <c r="B10" s="3" t="s">
        <v>63</v>
      </c>
      <c r="C10" s="3" t="s">
        <v>64</v>
      </c>
      <c r="D10" s="3" t="s">
        <v>66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>
        <f t="shared" si="1"/>
        <v>0</v>
      </c>
    </row>
    <row r="11">
      <c r="A11" s="7" t="s">
        <v>67</v>
      </c>
      <c r="B11" s="7" t="s">
        <v>68</v>
      </c>
      <c r="C11" s="7" t="s">
        <v>69</v>
      </c>
      <c r="D11" s="7" t="s">
        <v>71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9">
        <v>89.0</v>
      </c>
      <c r="P11" s="8"/>
      <c r="Q11" s="8"/>
      <c r="R11" s="8">
        <f t="shared" si="1"/>
        <v>89</v>
      </c>
    </row>
    <row r="12">
      <c r="A12" s="3" t="s">
        <v>72</v>
      </c>
      <c r="B12" s="3" t="s">
        <v>73</v>
      </c>
      <c r="C12" s="3" t="s">
        <v>74</v>
      </c>
      <c r="D12" s="3" t="s">
        <v>76</v>
      </c>
      <c r="E12" s="4"/>
      <c r="F12" s="4"/>
      <c r="G12" s="8"/>
      <c r="H12" s="4"/>
      <c r="I12" s="4"/>
      <c r="J12" s="4"/>
      <c r="K12" s="8"/>
      <c r="L12" s="4"/>
      <c r="M12" s="4"/>
      <c r="N12" s="4"/>
      <c r="O12" s="4"/>
      <c r="P12" s="4"/>
      <c r="Q12" s="4"/>
      <c r="R12" s="4">
        <f t="shared" si="1"/>
        <v>0</v>
      </c>
    </row>
    <row r="13">
      <c r="A13" s="7" t="s">
        <v>77</v>
      </c>
      <c r="B13" s="7" t="s">
        <v>78</v>
      </c>
      <c r="C13" s="7" t="s">
        <v>79</v>
      </c>
      <c r="D13" s="7" t="s">
        <v>81</v>
      </c>
      <c r="E13" s="8"/>
      <c r="F13" s="9">
        <v>100.0</v>
      </c>
      <c r="G13" s="6">
        <v>83.0</v>
      </c>
      <c r="H13" s="9">
        <v>80.0</v>
      </c>
      <c r="I13" s="9">
        <v>82.0</v>
      </c>
      <c r="J13" s="9">
        <v>80.0</v>
      </c>
      <c r="K13" s="6">
        <v>80.0</v>
      </c>
      <c r="L13" s="9">
        <v>94.0</v>
      </c>
      <c r="M13" s="9">
        <v>85.0</v>
      </c>
      <c r="N13" s="9">
        <v>83.0</v>
      </c>
      <c r="O13" s="9">
        <v>80.0</v>
      </c>
      <c r="P13" s="8"/>
      <c r="Q13" s="9">
        <v>88.0</v>
      </c>
      <c r="R13" s="8">
        <f>SUM(E13:Q13)</f>
        <v>935</v>
      </c>
    </row>
    <row r="14">
      <c r="A14" s="3" t="s">
        <v>82</v>
      </c>
      <c r="B14" s="3" t="s">
        <v>83</v>
      </c>
      <c r="C14" s="3" t="s">
        <v>84</v>
      </c>
      <c r="D14" s="3" t="s">
        <v>86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f t="shared" ref="R14:R16" si="2">SUM(E14:P14)</f>
        <v>0</v>
      </c>
    </row>
    <row r="15">
      <c r="A15" s="7" t="s">
        <v>87</v>
      </c>
      <c r="B15" s="7" t="s">
        <v>88</v>
      </c>
      <c r="C15" s="7"/>
      <c r="D15" s="7" t="s">
        <v>89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9">
        <v>80.0</v>
      </c>
      <c r="P15" s="8"/>
      <c r="Q15" s="8"/>
      <c r="R15" s="8">
        <f t="shared" si="2"/>
        <v>80</v>
      </c>
    </row>
    <row r="16">
      <c r="A16" s="3" t="s">
        <v>90</v>
      </c>
      <c r="B16" s="3" t="s">
        <v>91</v>
      </c>
      <c r="C16" s="3" t="s">
        <v>92</v>
      </c>
      <c r="D16" s="3" t="s">
        <v>94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>
        <f t="shared" si="2"/>
        <v>0</v>
      </c>
    </row>
    <row r="17">
      <c r="A17" s="7" t="s">
        <v>95</v>
      </c>
      <c r="B17" s="7" t="s">
        <v>96</v>
      </c>
      <c r="C17" s="7" t="s">
        <v>97</v>
      </c>
      <c r="D17" s="7" t="s">
        <v>99</v>
      </c>
      <c r="E17" s="8"/>
      <c r="F17" s="9">
        <v>97.0</v>
      </c>
      <c r="G17" s="9">
        <v>83.0</v>
      </c>
      <c r="H17" s="9">
        <v>90.0</v>
      </c>
      <c r="I17" s="9">
        <v>94.0</v>
      </c>
      <c r="J17" s="9">
        <v>89.0</v>
      </c>
      <c r="K17" s="9">
        <v>87.0</v>
      </c>
      <c r="L17" s="9"/>
      <c r="M17" s="9">
        <v>90.0</v>
      </c>
      <c r="N17" s="9">
        <v>88.0</v>
      </c>
      <c r="O17" s="9">
        <v>85.0</v>
      </c>
      <c r="P17" s="8"/>
      <c r="Q17" s="9">
        <v>100.0</v>
      </c>
      <c r="R17" s="8">
        <f t="shared" ref="R17:R18" si="3">SUM(E17:Q17)</f>
        <v>903</v>
      </c>
    </row>
    <row r="18">
      <c r="A18" s="3" t="s">
        <v>100</v>
      </c>
      <c r="B18" s="3" t="s">
        <v>101</v>
      </c>
      <c r="C18" s="3" t="s">
        <v>102</v>
      </c>
      <c r="D18" s="3" t="s">
        <v>104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">
        <v>94.0</v>
      </c>
      <c r="R18" s="4">
        <f t="shared" si="3"/>
        <v>94</v>
      </c>
    </row>
    <row r="19">
      <c r="A19" s="7" t="s">
        <v>105</v>
      </c>
      <c r="B19" s="7" t="s">
        <v>106</v>
      </c>
      <c r="C19" s="7" t="s">
        <v>107</v>
      </c>
      <c r="D19" s="7" t="s">
        <v>109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>
        <f t="shared" ref="R19:R28" si="4">SUM(E19:P19)</f>
        <v>0</v>
      </c>
    </row>
    <row r="20">
      <c r="A20" s="3" t="s">
        <v>110</v>
      </c>
      <c r="B20" s="3" t="s">
        <v>111</v>
      </c>
      <c r="C20" s="3" t="s">
        <v>112</v>
      </c>
      <c r="D20" s="3" t="s">
        <v>114</v>
      </c>
      <c r="E20" s="4"/>
      <c r="F20" s="4"/>
      <c r="G20" s="4"/>
      <c r="H20" s="4"/>
      <c r="I20" s="4"/>
      <c r="J20" s="4"/>
      <c r="K20" s="4"/>
      <c r="L20" s="4"/>
      <c r="M20" s="4"/>
      <c r="N20" s="5"/>
      <c r="O20" s="5">
        <v>86.0</v>
      </c>
      <c r="P20" s="4"/>
      <c r="Q20" s="4"/>
      <c r="R20" s="4">
        <f t="shared" si="4"/>
        <v>86</v>
      </c>
    </row>
    <row r="21" ht="15.75" customHeight="1">
      <c r="A21" s="7" t="s">
        <v>115</v>
      </c>
      <c r="B21" s="7" t="s">
        <v>116</v>
      </c>
      <c r="C21" s="7" t="s">
        <v>117</v>
      </c>
      <c r="D21" s="7" t="s">
        <v>119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>
        <f t="shared" si="4"/>
        <v>0</v>
      </c>
    </row>
    <row r="22" ht="15.75" customHeight="1">
      <c r="A22" s="3" t="s">
        <v>120</v>
      </c>
      <c r="B22" s="3" t="s">
        <v>121</v>
      </c>
      <c r="C22" s="3" t="s">
        <v>122</v>
      </c>
      <c r="D22" s="3" t="s">
        <v>124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5">
        <v>80.0</v>
      </c>
      <c r="P22" s="4"/>
      <c r="Q22" s="4"/>
      <c r="R22" s="4">
        <f t="shared" si="4"/>
        <v>80</v>
      </c>
    </row>
    <row r="23" ht="15.75" customHeight="1">
      <c r="A23" s="7" t="s">
        <v>125</v>
      </c>
      <c r="B23" s="7" t="s">
        <v>126</v>
      </c>
      <c r="C23" s="7" t="s">
        <v>127</v>
      </c>
      <c r="D23" s="7" t="s">
        <v>129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>
        <f t="shared" si="4"/>
        <v>0</v>
      </c>
    </row>
    <row r="24" ht="15.75" customHeight="1">
      <c r="A24" s="3" t="s">
        <v>130</v>
      </c>
      <c r="B24" s="3" t="s">
        <v>131</v>
      </c>
      <c r="C24" s="3" t="s">
        <v>132</v>
      </c>
      <c r="D24" s="3" t="s">
        <v>134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5">
        <v>90.0</v>
      </c>
      <c r="P24" s="4"/>
      <c r="Q24" s="4"/>
      <c r="R24" s="4">
        <f t="shared" si="4"/>
        <v>90</v>
      </c>
    </row>
    <row r="25" ht="15.75" customHeight="1">
      <c r="A25" s="7" t="s">
        <v>135</v>
      </c>
      <c r="B25" s="7" t="s">
        <v>136</v>
      </c>
      <c r="C25" s="7"/>
      <c r="D25" s="7" t="s">
        <v>137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>
        <f t="shared" si="4"/>
        <v>0</v>
      </c>
    </row>
    <row r="26" ht="15.75" customHeight="1">
      <c r="A26" s="3" t="s">
        <v>138</v>
      </c>
      <c r="B26" s="3" t="s">
        <v>139</v>
      </c>
      <c r="C26" s="3"/>
      <c r="D26" s="3" t="s">
        <v>140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>
        <f t="shared" si="4"/>
        <v>0</v>
      </c>
    </row>
    <row r="27" ht="15.75" customHeight="1">
      <c r="A27" s="7" t="s">
        <v>141</v>
      </c>
      <c r="B27" s="7" t="s">
        <v>142</v>
      </c>
      <c r="C27" s="7" t="s">
        <v>143</v>
      </c>
      <c r="D27" s="7" t="s">
        <v>145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9">
        <v>85.0</v>
      </c>
      <c r="P27" s="8"/>
      <c r="Q27" s="8"/>
      <c r="R27" s="8">
        <f t="shared" si="4"/>
        <v>85</v>
      </c>
    </row>
    <row r="28" ht="15.75" customHeight="1">
      <c r="A28" s="3" t="s">
        <v>146</v>
      </c>
      <c r="B28" s="3" t="s">
        <v>147</v>
      </c>
      <c r="C28" s="3" t="s">
        <v>148</v>
      </c>
      <c r="D28" s="3" t="s">
        <v>150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5">
        <v>85.0</v>
      </c>
      <c r="P28" s="4"/>
      <c r="Q28" s="4"/>
      <c r="R28" s="4">
        <f t="shared" si="4"/>
        <v>85</v>
      </c>
    </row>
    <row r="29" ht="15.75" customHeight="1">
      <c r="A29" s="7" t="s">
        <v>151</v>
      </c>
      <c r="B29" s="7" t="s">
        <v>152</v>
      </c>
      <c r="C29" s="7" t="s">
        <v>153</v>
      </c>
      <c r="D29" s="7" t="s">
        <v>155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9">
        <v>83.0</v>
      </c>
      <c r="P29" s="8"/>
      <c r="Q29" s="9">
        <v>88.0</v>
      </c>
      <c r="R29" s="8">
        <f>SUM(E29:Q29)</f>
        <v>171</v>
      </c>
    </row>
    <row r="30" ht="15.75" customHeight="1">
      <c r="A30" s="3" t="s">
        <v>156</v>
      </c>
      <c r="B30" s="3" t="s">
        <v>157</v>
      </c>
      <c r="C30" s="3" t="s">
        <v>158</v>
      </c>
      <c r="D30" s="3" t="s">
        <v>160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>
        <f>SUM(E30:P30)</f>
        <v>0</v>
      </c>
    </row>
    <row r="31" ht="15.75" customHeight="1">
      <c r="A31" s="7" t="s">
        <v>161</v>
      </c>
      <c r="B31" s="7" t="s">
        <v>162</v>
      </c>
      <c r="C31" s="7" t="s">
        <v>163</v>
      </c>
      <c r="D31" s="7" t="s">
        <v>165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>
        <v>92.0</v>
      </c>
      <c r="R31" s="8">
        <f>SUM(E31:Q31)</f>
        <v>92</v>
      </c>
    </row>
    <row r="32" ht="15.75" customHeight="1">
      <c r="A32" s="3" t="s">
        <v>166</v>
      </c>
      <c r="B32" s="3" t="s">
        <v>167</v>
      </c>
      <c r="C32" s="3" t="s">
        <v>168</v>
      </c>
      <c r="D32" s="3" t="s">
        <v>170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>
        <f t="shared" ref="R32:R33" si="5">SUM(E32:P32)</f>
        <v>0</v>
      </c>
    </row>
    <row r="33" ht="15.75" customHeight="1">
      <c r="A33" s="7" t="s">
        <v>171</v>
      </c>
      <c r="B33" s="7" t="s">
        <v>172</v>
      </c>
      <c r="C33" s="7" t="s">
        <v>173</v>
      </c>
      <c r="D33" s="7" t="s">
        <v>175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>
        <f t="shared" si="5"/>
        <v>0</v>
      </c>
    </row>
    <row r="34" ht="15.75" customHeight="1">
      <c r="A34" s="3" t="s">
        <v>176</v>
      </c>
      <c r="B34" s="3" t="s">
        <v>177</v>
      </c>
      <c r="C34" s="3" t="s">
        <v>178</v>
      </c>
      <c r="D34" s="3" t="s">
        <v>180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5">
        <v>92.0</v>
      </c>
      <c r="R34" s="4">
        <f t="shared" ref="R34:R35" si="6">SUM(E34:Q34)</f>
        <v>92</v>
      </c>
    </row>
    <row r="35" ht="15.75" customHeight="1">
      <c r="A35" s="7" t="s">
        <v>181</v>
      </c>
      <c r="B35" s="7" t="s">
        <v>182</v>
      </c>
      <c r="C35" s="7" t="s">
        <v>183</v>
      </c>
      <c r="D35" s="7" t="s">
        <v>185</v>
      </c>
      <c r="E35" s="8"/>
      <c r="F35" s="9">
        <v>100.0</v>
      </c>
      <c r="G35" s="9">
        <v>86.0</v>
      </c>
      <c r="H35" s="9">
        <v>93.0</v>
      </c>
      <c r="I35" s="9">
        <v>100.0</v>
      </c>
      <c r="J35" s="9">
        <v>94.0</v>
      </c>
      <c r="K35" s="9">
        <v>90.0</v>
      </c>
      <c r="L35" s="9">
        <v>100.0</v>
      </c>
      <c r="M35" s="9">
        <v>100.0</v>
      </c>
      <c r="N35" s="9">
        <v>90.0</v>
      </c>
      <c r="O35" s="9">
        <v>90.0</v>
      </c>
      <c r="P35" s="8"/>
      <c r="Q35" s="9">
        <v>97.0</v>
      </c>
      <c r="R35" s="8">
        <f t="shared" si="6"/>
        <v>1040</v>
      </c>
    </row>
    <row r="36" ht="15.75" customHeight="1">
      <c r="A36" s="3" t="s">
        <v>181</v>
      </c>
      <c r="B36" s="3" t="s">
        <v>186</v>
      </c>
      <c r="C36" s="3" t="s">
        <v>187</v>
      </c>
      <c r="D36" s="3" t="s">
        <v>189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>
        <f>SUM(E36:P36)</f>
        <v>0</v>
      </c>
    </row>
    <row r="37" ht="15.75" customHeight="1">
      <c r="A37" s="7" t="s">
        <v>190</v>
      </c>
      <c r="B37" s="7" t="s">
        <v>191</v>
      </c>
      <c r="C37" s="7" t="s">
        <v>192</v>
      </c>
      <c r="D37" s="7" t="s">
        <v>194</v>
      </c>
      <c r="E37" s="8"/>
      <c r="F37" s="9">
        <v>93.0</v>
      </c>
      <c r="G37" s="9">
        <v>84.0</v>
      </c>
      <c r="H37" s="9">
        <v>90.0</v>
      </c>
      <c r="I37" s="9">
        <v>99.0</v>
      </c>
      <c r="J37" s="9">
        <v>90.0</v>
      </c>
      <c r="K37" s="9">
        <v>94.0</v>
      </c>
      <c r="L37" s="9">
        <v>99.0</v>
      </c>
      <c r="M37" s="9">
        <v>98.0</v>
      </c>
      <c r="N37" s="9">
        <v>94.0</v>
      </c>
      <c r="O37" s="9">
        <v>95.0</v>
      </c>
      <c r="P37" s="8"/>
      <c r="Q37" s="9">
        <v>100.0</v>
      </c>
      <c r="R37" s="8">
        <f>SUM(E37:Q37)</f>
        <v>1036</v>
      </c>
    </row>
    <row r="38" ht="15.75" customHeight="1">
      <c r="A38" s="3" t="s">
        <v>195</v>
      </c>
      <c r="B38" s="3" t="s">
        <v>196</v>
      </c>
      <c r="C38" s="3" t="s">
        <v>197</v>
      </c>
      <c r="D38" s="3" t="s">
        <v>199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>
        <f t="shared" ref="R38:R41" si="7">SUM(E38:P38)</f>
        <v>0</v>
      </c>
    </row>
    <row r="39" ht="15.75" customHeight="1">
      <c r="A39" s="7" t="s">
        <v>200</v>
      </c>
      <c r="B39" s="7" t="s">
        <v>201</v>
      </c>
      <c r="C39" s="7" t="s">
        <v>202</v>
      </c>
      <c r="D39" s="7" t="s">
        <v>204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>
        <f t="shared" si="7"/>
        <v>0</v>
      </c>
    </row>
    <row r="40" ht="15.75" customHeight="1">
      <c r="A40" s="3" t="s">
        <v>205</v>
      </c>
      <c r="B40" s="3" t="s">
        <v>206</v>
      </c>
      <c r="C40" s="3" t="s">
        <v>207</v>
      </c>
      <c r="D40" s="3" t="s">
        <v>209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>
        <f t="shared" si="7"/>
        <v>0</v>
      </c>
    </row>
    <row r="41" ht="15.75" customHeight="1">
      <c r="A41" s="7" t="s">
        <v>205</v>
      </c>
      <c r="B41" s="7" t="s">
        <v>210</v>
      </c>
      <c r="C41" s="7" t="s">
        <v>211</v>
      </c>
      <c r="D41" s="7" t="s">
        <v>213</v>
      </c>
      <c r="E41" s="8"/>
      <c r="F41" s="9">
        <v>100.0</v>
      </c>
      <c r="G41" s="9">
        <v>87.0</v>
      </c>
      <c r="H41" s="9">
        <v>92.0</v>
      </c>
      <c r="I41" s="9">
        <v>100.0</v>
      </c>
      <c r="J41" s="9">
        <v>94.0</v>
      </c>
      <c r="K41" s="9">
        <v>88.0</v>
      </c>
      <c r="L41" s="9">
        <v>100.0</v>
      </c>
      <c r="M41" s="9">
        <v>95.0</v>
      </c>
      <c r="N41" s="9">
        <v>89.0</v>
      </c>
      <c r="O41" s="9">
        <v>85.0</v>
      </c>
      <c r="P41" s="8"/>
      <c r="Q41" s="8"/>
      <c r="R41" s="8">
        <f t="shared" si="7"/>
        <v>930</v>
      </c>
    </row>
    <row r="42" ht="15.75" customHeight="1">
      <c r="A42" s="3" t="s">
        <v>214</v>
      </c>
      <c r="B42" s="3" t="s">
        <v>215</v>
      </c>
      <c r="C42" s="3" t="s">
        <v>216</v>
      </c>
      <c r="D42" s="3" t="s">
        <v>218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5">
        <v>80.0</v>
      </c>
      <c r="P42" s="4"/>
      <c r="Q42" s="5">
        <v>88.0</v>
      </c>
      <c r="R42" s="4">
        <f>SUM(E42:Q42)</f>
        <v>168</v>
      </c>
    </row>
    <row r="43" ht="15.75" customHeight="1">
      <c r="A43" s="7" t="s">
        <v>214</v>
      </c>
      <c r="B43" s="7" t="s">
        <v>219</v>
      </c>
      <c r="C43" s="7" t="s">
        <v>220</v>
      </c>
      <c r="D43" s="7" t="s">
        <v>222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9">
        <v>78.0</v>
      </c>
      <c r="P43" s="8"/>
      <c r="Q43" s="8"/>
      <c r="R43" s="8">
        <f t="shared" ref="R43:R45" si="8">SUM(E43:P43)</f>
        <v>78</v>
      </c>
    </row>
    <row r="44" ht="15.75" customHeight="1">
      <c r="A44" s="3" t="s">
        <v>223</v>
      </c>
      <c r="B44" s="3" t="s">
        <v>224</v>
      </c>
      <c r="C44" s="3" t="s">
        <v>225</v>
      </c>
      <c r="D44" s="3" t="s">
        <v>227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>
        <f t="shared" si="8"/>
        <v>0</v>
      </c>
    </row>
    <row r="45" ht="15.75" customHeight="1">
      <c r="A45" s="7" t="s">
        <v>228</v>
      </c>
      <c r="B45" s="7" t="s">
        <v>229</v>
      </c>
      <c r="C45" s="7" t="s">
        <v>230</v>
      </c>
      <c r="D45" s="7" t="s">
        <v>232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>
        <f t="shared" si="8"/>
        <v>0</v>
      </c>
    </row>
    <row r="46" ht="15.75" customHeight="1">
      <c r="A46" s="3" t="s">
        <v>233</v>
      </c>
      <c r="B46" s="3" t="s">
        <v>234</v>
      </c>
      <c r="C46" s="3" t="s">
        <v>235</v>
      </c>
      <c r="D46" s="3" t="s">
        <v>237</v>
      </c>
      <c r="E46" s="4"/>
      <c r="F46" s="5">
        <v>88.0</v>
      </c>
      <c r="G46" s="5">
        <v>84.0</v>
      </c>
      <c r="H46" s="5">
        <v>83.0</v>
      </c>
      <c r="I46" s="5">
        <v>82.0</v>
      </c>
      <c r="J46" s="5">
        <v>80.0</v>
      </c>
      <c r="K46" s="5">
        <v>82.0</v>
      </c>
      <c r="L46" s="5">
        <v>82.0</v>
      </c>
      <c r="M46" s="5">
        <v>81.0</v>
      </c>
      <c r="N46" s="5">
        <v>81.0</v>
      </c>
      <c r="O46" s="5">
        <v>85.0</v>
      </c>
      <c r="P46" s="4"/>
      <c r="Q46" s="5">
        <v>95.0</v>
      </c>
      <c r="R46" s="4">
        <f t="shared" ref="R46:R47" si="9">SUM(E46:Q46)</f>
        <v>923</v>
      </c>
    </row>
    <row r="47" ht="15.75" customHeight="1">
      <c r="A47" s="7" t="s">
        <v>238</v>
      </c>
      <c r="B47" s="7" t="s">
        <v>82</v>
      </c>
      <c r="C47" s="7" t="s">
        <v>239</v>
      </c>
      <c r="D47" s="7" t="s">
        <v>241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9">
        <v>80.0</v>
      </c>
      <c r="P47" s="8"/>
      <c r="Q47" s="9">
        <v>90.0</v>
      </c>
      <c r="R47" s="8">
        <f t="shared" si="9"/>
        <v>170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30.0"/>
    <col customWidth="1" min="4" max="4" width="6.0"/>
    <col customWidth="1" min="5" max="5" width="8.0"/>
    <col customWidth="1" min="6" max="6" width="94.71"/>
    <col customWidth="1" min="7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255</v>
      </c>
      <c r="F1" s="1" t="s">
        <v>12</v>
      </c>
    </row>
    <row r="2">
      <c r="A2" s="3" t="s">
        <v>24</v>
      </c>
      <c r="B2" s="3" t="s">
        <v>25</v>
      </c>
      <c r="C2" s="3" t="s">
        <v>26</v>
      </c>
      <c r="D2" s="3" t="s">
        <v>28</v>
      </c>
      <c r="E2" s="5" t="s">
        <v>256</v>
      </c>
      <c r="F2" s="5" t="s">
        <v>257</v>
      </c>
    </row>
    <row r="3">
      <c r="A3" s="7" t="s">
        <v>29</v>
      </c>
      <c r="B3" s="7" t="s">
        <v>30</v>
      </c>
      <c r="C3" s="7" t="s">
        <v>31</v>
      </c>
      <c r="D3" s="7" t="s">
        <v>33</v>
      </c>
      <c r="E3" s="9" t="s">
        <v>256</v>
      </c>
      <c r="F3" s="8"/>
    </row>
    <row r="4">
      <c r="A4" s="3" t="s">
        <v>29</v>
      </c>
      <c r="B4" s="3" t="s">
        <v>34</v>
      </c>
      <c r="C4" s="3" t="s">
        <v>35</v>
      </c>
      <c r="D4" s="3" t="s">
        <v>37</v>
      </c>
      <c r="E4" s="5" t="s">
        <v>256</v>
      </c>
      <c r="F4" s="4"/>
    </row>
    <row r="5">
      <c r="A5" s="7" t="s">
        <v>29</v>
      </c>
      <c r="B5" s="7" t="s">
        <v>38</v>
      </c>
      <c r="C5" s="7" t="s">
        <v>39</v>
      </c>
      <c r="D5" s="7" t="s">
        <v>41</v>
      </c>
      <c r="E5" s="8"/>
      <c r="F5" s="8"/>
    </row>
    <row r="6">
      <c r="A6" s="3" t="s">
        <v>42</v>
      </c>
      <c r="B6" s="3" t="s">
        <v>43</v>
      </c>
      <c r="C6" s="3" t="s">
        <v>44</v>
      </c>
      <c r="D6" s="3" t="s">
        <v>46</v>
      </c>
      <c r="E6" s="5" t="s">
        <v>256</v>
      </c>
      <c r="F6" s="4"/>
    </row>
    <row r="7">
      <c r="A7" s="7" t="s">
        <v>47</v>
      </c>
      <c r="B7" s="7" t="s">
        <v>48</v>
      </c>
      <c r="C7" s="7" t="s">
        <v>49</v>
      </c>
      <c r="D7" s="7" t="s">
        <v>51</v>
      </c>
      <c r="E7" s="8"/>
      <c r="F7" s="8"/>
    </row>
    <row r="8">
      <c r="A8" s="3" t="s">
        <v>52</v>
      </c>
      <c r="B8" s="3" t="s">
        <v>53</v>
      </c>
      <c r="C8" s="3" t="s">
        <v>54</v>
      </c>
      <c r="D8" s="3" t="s">
        <v>56</v>
      </c>
      <c r="E8" s="5" t="s">
        <v>256</v>
      </c>
      <c r="F8" s="4"/>
    </row>
    <row r="9">
      <c r="A9" s="7" t="s">
        <v>57</v>
      </c>
      <c r="B9" s="7" t="s">
        <v>58</v>
      </c>
      <c r="C9" s="7" t="s">
        <v>59</v>
      </c>
      <c r="D9" s="7" t="s">
        <v>61</v>
      </c>
      <c r="E9" s="9" t="s">
        <v>256</v>
      </c>
      <c r="F9" s="8"/>
    </row>
    <row r="10">
      <c r="A10" s="3" t="s">
        <v>62</v>
      </c>
      <c r="B10" s="3" t="s">
        <v>63</v>
      </c>
      <c r="C10" s="3" t="s">
        <v>64</v>
      </c>
      <c r="D10" s="3" t="s">
        <v>66</v>
      </c>
      <c r="E10" s="4"/>
      <c r="F10" s="4"/>
    </row>
    <row r="11">
      <c r="A11" s="7" t="s">
        <v>67</v>
      </c>
      <c r="B11" s="7" t="s">
        <v>68</v>
      </c>
      <c r="C11" s="7" t="s">
        <v>69</v>
      </c>
      <c r="D11" s="7" t="s">
        <v>71</v>
      </c>
      <c r="E11" s="8"/>
      <c r="F11" s="8"/>
    </row>
    <row r="12">
      <c r="A12" s="3" t="s">
        <v>72</v>
      </c>
      <c r="B12" s="3" t="s">
        <v>73</v>
      </c>
      <c r="C12" s="3" t="s">
        <v>74</v>
      </c>
      <c r="D12" s="3" t="s">
        <v>76</v>
      </c>
      <c r="E12" s="5" t="s">
        <v>256</v>
      </c>
      <c r="F12" s="4"/>
    </row>
    <row r="13">
      <c r="A13" s="7" t="s">
        <v>77</v>
      </c>
      <c r="B13" s="7" t="s">
        <v>78</v>
      </c>
      <c r="C13" s="7" t="s">
        <v>79</v>
      </c>
      <c r="D13" s="7" t="s">
        <v>81</v>
      </c>
      <c r="E13" s="8"/>
      <c r="F13" s="8"/>
    </row>
    <row r="14">
      <c r="A14" s="3" t="s">
        <v>82</v>
      </c>
      <c r="B14" s="3" t="s">
        <v>83</v>
      </c>
      <c r="C14" s="3" t="s">
        <v>84</v>
      </c>
      <c r="D14" s="3" t="s">
        <v>86</v>
      </c>
      <c r="E14" s="5" t="s">
        <v>256</v>
      </c>
      <c r="F14" s="4"/>
    </row>
    <row r="15">
      <c r="A15" s="7" t="s">
        <v>87</v>
      </c>
      <c r="B15" s="7" t="s">
        <v>88</v>
      </c>
      <c r="C15" s="7"/>
      <c r="D15" s="7" t="s">
        <v>89</v>
      </c>
      <c r="E15" s="8"/>
      <c r="F15" s="8"/>
    </row>
    <row r="16">
      <c r="A16" s="3" t="s">
        <v>90</v>
      </c>
      <c r="B16" s="3" t="s">
        <v>91</v>
      </c>
      <c r="C16" s="3" t="s">
        <v>92</v>
      </c>
      <c r="D16" s="3" t="s">
        <v>94</v>
      </c>
      <c r="E16" s="5" t="s">
        <v>256</v>
      </c>
      <c r="F16" s="5" t="s">
        <v>258</v>
      </c>
    </row>
    <row r="17">
      <c r="A17" s="7" t="s">
        <v>95</v>
      </c>
      <c r="B17" s="7" t="s">
        <v>96</v>
      </c>
      <c r="C17" s="7" t="s">
        <v>97</v>
      </c>
      <c r="D17" s="7" t="s">
        <v>99</v>
      </c>
      <c r="E17" s="9" t="s">
        <v>256</v>
      </c>
      <c r="F17" s="9" t="s">
        <v>259</v>
      </c>
    </row>
    <row r="18">
      <c r="A18" s="3" t="s">
        <v>100</v>
      </c>
      <c r="B18" s="3" t="s">
        <v>101</v>
      </c>
      <c r="C18" s="3" t="s">
        <v>102</v>
      </c>
      <c r="D18" s="3" t="s">
        <v>104</v>
      </c>
      <c r="E18" s="5" t="s">
        <v>256</v>
      </c>
      <c r="F18" s="4"/>
    </row>
    <row r="19">
      <c r="A19" s="7" t="s">
        <v>105</v>
      </c>
      <c r="B19" s="7" t="s">
        <v>106</v>
      </c>
      <c r="C19" s="7" t="s">
        <v>107</v>
      </c>
      <c r="D19" s="7" t="s">
        <v>109</v>
      </c>
      <c r="E19" s="9" t="s">
        <v>256</v>
      </c>
      <c r="F19" s="8"/>
    </row>
    <row r="20">
      <c r="A20" s="3" t="s">
        <v>110</v>
      </c>
      <c r="B20" s="3" t="s">
        <v>111</v>
      </c>
      <c r="C20" s="3" t="s">
        <v>112</v>
      </c>
      <c r="D20" s="3" t="s">
        <v>114</v>
      </c>
      <c r="E20" s="4"/>
      <c r="F20" s="4"/>
    </row>
    <row r="21" ht="15.75" customHeight="1">
      <c r="A21" s="7" t="s">
        <v>115</v>
      </c>
      <c r="B21" s="7" t="s">
        <v>116</v>
      </c>
      <c r="C21" s="7" t="s">
        <v>117</v>
      </c>
      <c r="D21" s="7" t="s">
        <v>119</v>
      </c>
      <c r="E21" s="9" t="s">
        <v>256</v>
      </c>
      <c r="F21" s="8"/>
    </row>
    <row r="22" ht="15.75" customHeight="1">
      <c r="A22" s="3" t="s">
        <v>120</v>
      </c>
      <c r="B22" s="3" t="s">
        <v>121</v>
      </c>
      <c r="C22" s="3" t="s">
        <v>122</v>
      </c>
      <c r="D22" s="3" t="s">
        <v>124</v>
      </c>
      <c r="E22" s="4"/>
      <c r="F22" s="4"/>
    </row>
    <row r="23" ht="15.75" customHeight="1">
      <c r="A23" s="7" t="s">
        <v>125</v>
      </c>
      <c r="B23" s="7" t="s">
        <v>126</v>
      </c>
      <c r="C23" s="7" t="s">
        <v>127</v>
      </c>
      <c r="D23" s="7" t="s">
        <v>129</v>
      </c>
      <c r="E23" s="9" t="s">
        <v>256</v>
      </c>
      <c r="F23" s="8"/>
    </row>
    <row r="24" ht="15.75" customHeight="1">
      <c r="A24" s="3" t="s">
        <v>130</v>
      </c>
      <c r="B24" s="3" t="s">
        <v>131</v>
      </c>
      <c r="C24" s="3" t="s">
        <v>132</v>
      </c>
      <c r="D24" s="3" t="s">
        <v>134</v>
      </c>
      <c r="E24" s="4"/>
      <c r="F24" s="4"/>
    </row>
    <row r="25" ht="15.75" customHeight="1">
      <c r="A25" s="7" t="s">
        <v>135</v>
      </c>
      <c r="B25" s="7" t="s">
        <v>136</v>
      </c>
      <c r="C25" s="7"/>
      <c r="D25" s="7" t="s">
        <v>137</v>
      </c>
      <c r="E25" s="9" t="s">
        <v>256</v>
      </c>
      <c r="F25" s="9" t="s">
        <v>260</v>
      </c>
    </row>
    <row r="26" ht="15.75" customHeight="1">
      <c r="A26" s="3" t="s">
        <v>138</v>
      </c>
      <c r="B26" s="3" t="s">
        <v>139</v>
      </c>
      <c r="C26" s="3"/>
      <c r="D26" s="3" t="s">
        <v>140</v>
      </c>
      <c r="E26" s="11">
        <v>46032.0</v>
      </c>
      <c r="F26" s="12" t="s">
        <v>261</v>
      </c>
    </row>
    <row r="27" ht="15.75" customHeight="1">
      <c r="A27" s="7" t="s">
        <v>141</v>
      </c>
      <c r="B27" s="7" t="s">
        <v>142</v>
      </c>
      <c r="C27" s="7" t="s">
        <v>143</v>
      </c>
      <c r="D27" s="7" t="s">
        <v>145</v>
      </c>
      <c r="E27" s="8"/>
      <c r="F27" s="8"/>
    </row>
    <row r="28" ht="15.75" customHeight="1">
      <c r="A28" s="3" t="s">
        <v>146</v>
      </c>
      <c r="B28" s="3" t="s">
        <v>147</v>
      </c>
      <c r="C28" s="3" t="s">
        <v>148</v>
      </c>
      <c r="D28" s="3" t="s">
        <v>150</v>
      </c>
      <c r="E28" s="4"/>
      <c r="F28" s="4"/>
    </row>
    <row r="29" ht="15.75" customHeight="1">
      <c r="A29" s="7" t="s">
        <v>151</v>
      </c>
      <c r="B29" s="7" t="s">
        <v>152</v>
      </c>
      <c r="C29" s="7" t="s">
        <v>153</v>
      </c>
      <c r="D29" s="7" t="s">
        <v>155</v>
      </c>
      <c r="E29" s="8"/>
      <c r="F29" s="8"/>
    </row>
    <row r="30" ht="15.75" customHeight="1">
      <c r="A30" s="3" t="s">
        <v>156</v>
      </c>
      <c r="B30" s="3" t="s">
        <v>157</v>
      </c>
      <c r="C30" s="3" t="s">
        <v>158</v>
      </c>
      <c r="D30" s="3" t="s">
        <v>160</v>
      </c>
      <c r="E30" s="5" t="s">
        <v>256</v>
      </c>
      <c r="F30" s="4"/>
    </row>
    <row r="31" ht="15.75" customHeight="1">
      <c r="A31" s="7" t="s">
        <v>161</v>
      </c>
      <c r="B31" s="7" t="s">
        <v>162</v>
      </c>
      <c r="C31" s="7" t="s">
        <v>163</v>
      </c>
      <c r="D31" s="7" t="s">
        <v>165</v>
      </c>
      <c r="E31" s="9" t="s">
        <v>256</v>
      </c>
      <c r="F31" s="8"/>
    </row>
    <row r="32" ht="15.75" customHeight="1">
      <c r="A32" s="3" t="s">
        <v>166</v>
      </c>
      <c r="B32" s="3" t="s">
        <v>167</v>
      </c>
      <c r="C32" s="3" t="s">
        <v>168</v>
      </c>
      <c r="D32" s="3" t="s">
        <v>170</v>
      </c>
      <c r="E32" s="5" t="s">
        <v>256</v>
      </c>
      <c r="F32" s="4"/>
    </row>
    <row r="33" ht="15.75" customHeight="1">
      <c r="A33" s="7" t="s">
        <v>171</v>
      </c>
      <c r="B33" s="7" t="s">
        <v>172</v>
      </c>
      <c r="C33" s="7" t="s">
        <v>173</v>
      </c>
      <c r="D33" s="7" t="s">
        <v>175</v>
      </c>
      <c r="E33" s="9" t="s">
        <v>256</v>
      </c>
      <c r="F33" s="9" t="s">
        <v>257</v>
      </c>
    </row>
    <row r="34" ht="15.75" customHeight="1">
      <c r="A34" s="3" t="s">
        <v>176</v>
      </c>
      <c r="B34" s="3" t="s">
        <v>177</v>
      </c>
      <c r="C34" s="3" t="s">
        <v>178</v>
      </c>
      <c r="D34" s="3" t="s">
        <v>180</v>
      </c>
      <c r="E34" s="5" t="s">
        <v>256</v>
      </c>
      <c r="F34" s="5" t="s">
        <v>258</v>
      </c>
    </row>
    <row r="35" ht="15.75" customHeight="1">
      <c r="A35" s="7" t="s">
        <v>181</v>
      </c>
      <c r="B35" s="7" t="s">
        <v>182</v>
      </c>
      <c r="C35" s="7" t="s">
        <v>183</v>
      </c>
      <c r="D35" s="7" t="s">
        <v>185</v>
      </c>
      <c r="E35" s="9" t="s">
        <v>256</v>
      </c>
      <c r="F35" s="9" t="s">
        <v>262</v>
      </c>
    </row>
    <row r="36" ht="15.75" customHeight="1">
      <c r="A36" s="3" t="s">
        <v>181</v>
      </c>
      <c r="B36" s="3" t="s">
        <v>186</v>
      </c>
      <c r="C36" s="3" t="s">
        <v>187</v>
      </c>
      <c r="D36" s="3" t="s">
        <v>189</v>
      </c>
      <c r="E36" s="5" t="s">
        <v>256</v>
      </c>
      <c r="F36" s="5" t="s">
        <v>257</v>
      </c>
    </row>
    <row r="37" ht="15.75" customHeight="1">
      <c r="A37" s="7" t="s">
        <v>190</v>
      </c>
      <c r="B37" s="7" t="s">
        <v>191</v>
      </c>
      <c r="C37" s="7" t="s">
        <v>192</v>
      </c>
      <c r="D37" s="7" t="s">
        <v>194</v>
      </c>
      <c r="E37" s="9" t="s">
        <v>256</v>
      </c>
      <c r="F37" s="9" t="s">
        <v>259</v>
      </c>
    </row>
    <row r="38" ht="15.75" customHeight="1">
      <c r="A38" s="3" t="s">
        <v>195</v>
      </c>
      <c r="B38" s="3" t="s">
        <v>196</v>
      </c>
      <c r="C38" s="3" t="s">
        <v>197</v>
      </c>
      <c r="D38" s="3" t="s">
        <v>199</v>
      </c>
      <c r="E38" s="4"/>
      <c r="F38" s="4"/>
    </row>
    <row r="39" ht="15.75" customHeight="1">
      <c r="A39" s="7" t="s">
        <v>200</v>
      </c>
      <c r="B39" s="7" t="s">
        <v>201</v>
      </c>
      <c r="C39" s="7" t="s">
        <v>202</v>
      </c>
      <c r="D39" s="7" t="s">
        <v>204</v>
      </c>
      <c r="E39" s="9" t="s">
        <v>256</v>
      </c>
      <c r="F39" s="9" t="s">
        <v>258</v>
      </c>
    </row>
    <row r="40" ht="15.75" customHeight="1">
      <c r="A40" s="3" t="s">
        <v>205</v>
      </c>
      <c r="B40" s="3" t="s">
        <v>206</v>
      </c>
      <c r="C40" s="3" t="s">
        <v>207</v>
      </c>
      <c r="D40" s="3" t="s">
        <v>209</v>
      </c>
      <c r="E40" s="5" t="s">
        <v>256</v>
      </c>
      <c r="F40" s="4"/>
    </row>
    <row r="41" ht="15.75" customHeight="1">
      <c r="A41" s="7" t="s">
        <v>205</v>
      </c>
      <c r="B41" s="7" t="s">
        <v>210</v>
      </c>
      <c r="C41" s="7" t="s">
        <v>211</v>
      </c>
      <c r="D41" s="7" t="s">
        <v>213</v>
      </c>
      <c r="E41" s="8"/>
      <c r="F41" s="8"/>
    </row>
    <row r="42" ht="15.75" customHeight="1">
      <c r="A42" s="3" t="s">
        <v>214</v>
      </c>
      <c r="B42" s="3" t="s">
        <v>215</v>
      </c>
      <c r="C42" s="3" t="s">
        <v>216</v>
      </c>
      <c r="D42" s="3" t="s">
        <v>218</v>
      </c>
      <c r="E42" s="4"/>
      <c r="F42" s="4"/>
    </row>
    <row r="43" ht="15.75" customHeight="1">
      <c r="A43" s="7" t="s">
        <v>214</v>
      </c>
      <c r="B43" s="7" t="s">
        <v>219</v>
      </c>
      <c r="C43" s="7" t="s">
        <v>220</v>
      </c>
      <c r="D43" s="7" t="s">
        <v>222</v>
      </c>
      <c r="E43" s="8"/>
      <c r="F43" s="8"/>
    </row>
    <row r="44" ht="15.75" customHeight="1">
      <c r="A44" s="3" t="s">
        <v>223</v>
      </c>
      <c r="B44" s="3" t="s">
        <v>224</v>
      </c>
      <c r="C44" s="3" t="s">
        <v>225</v>
      </c>
      <c r="D44" s="3" t="s">
        <v>227</v>
      </c>
      <c r="E44" s="5" t="s">
        <v>256</v>
      </c>
      <c r="F44" s="5" t="s">
        <v>257</v>
      </c>
    </row>
    <row r="45" ht="15.75" customHeight="1">
      <c r="A45" s="7" t="s">
        <v>228</v>
      </c>
      <c r="B45" s="7" t="s">
        <v>229</v>
      </c>
      <c r="C45" s="7" t="s">
        <v>230</v>
      </c>
      <c r="D45" s="7" t="s">
        <v>232</v>
      </c>
      <c r="E45" s="9" t="s">
        <v>256</v>
      </c>
      <c r="F45" s="8"/>
    </row>
    <row r="46" ht="15.75" customHeight="1">
      <c r="A46" s="3" t="s">
        <v>233</v>
      </c>
      <c r="B46" s="3" t="s">
        <v>234</v>
      </c>
      <c r="C46" s="3" t="s">
        <v>235</v>
      </c>
      <c r="D46" s="3" t="s">
        <v>237</v>
      </c>
      <c r="E46" s="5" t="s">
        <v>256</v>
      </c>
      <c r="F46" s="5" t="s">
        <v>262</v>
      </c>
    </row>
    <row r="47" ht="15.75" customHeight="1">
      <c r="A47" s="7" t="s">
        <v>238</v>
      </c>
      <c r="B47" s="7" t="s">
        <v>82</v>
      </c>
      <c r="C47" s="7" t="s">
        <v>239</v>
      </c>
      <c r="D47" s="7" t="s">
        <v>241</v>
      </c>
      <c r="E47" s="8"/>
      <c r="F47" s="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30.0"/>
    <col customWidth="1" min="4" max="4" width="6.0"/>
    <col customWidth="1" min="5" max="16" width="5.0"/>
    <col customWidth="1" min="17" max="17" width="8.0"/>
    <col customWidth="1" min="18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  <c r="Q1" s="1" t="s">
        <v>11</v>
      </c>
    </row>
    <row r="2">
      <c r="A2" s="3" t="s">
        <v>24</v>
      </c>
      <c r="B2" s="3" t="s">
        <v>25</v>
      </c>
      <c r="C2" s="3" t="s">
        <v>26</v>
      </c>
      <c r="D2" s="3" t="s">
        <v>28</v>
      </c>
      <c r="E2" s="4">
        <v>1.0</v>
      </c>
      <c r="F2" s="4"/>
      <c r="G2" s="4"/>
      <c r="H2" s="4"/>
      <c r="I2" s="4">
        <v>1.0</v>
      </c>
      <c r="J2" s="4"/>
      <c r="K2" s="4"/>
      <c r="L2" s="4"/>
      <c r="M2" s="4"/>
      <c r="N2" s="4"/>
      <c r="O2" s="4">
        <v>1.0</v>
      </c>
      <c r="P2" s="4"/>
      <c r="Q2" s="4">
        <f t="shared" ref="Q2:Q47" si="1">COUNT(E2:P2)</f>
        <v>3</v>
      </c>
    </row>
    <row r="3">
      <c r="A3" s="7" t="s">
        <v>29</v>
      </c>
      <c r="B3" s="7" t="s">
        <v>30</v>
      </c>
      <c r="C3" s="7" t="s">
        <v>31</v>
      </c>
      <c r="D3" s="7" t="s">
        <v>33</v>
      </c>
      <c r="E3" s="8"/>
      <c r="F3" s="8"/>
      <c r="G3" s="8"/>
      <c r="H3" s="8"/>
      <c r="I3" s="8"/>
      <c r="J3" s="8">
        <v>1.0</v>
      </c>
      <c r="K3" s="8"/>
      <c r="L3" s="8"/>
      <c r="M3" s="8">
        <v>1.0</v>
      </c>
      <c r="N3" s="8"/>
      <c r="O3" s="8"/>
      <c r="P3" s="8"/>
      <c r="Q3" s="8">
        <f t="shared" si="1"/>
        <v>2</v>
      </c>
    </row>
    <row r="4">
      <c r="A4" s="3" t="s">
        <v>29</v>
      </c>
      <c r="B4" s="3" t="s">
        <v>34</v>
      </c>
      <c r="C4" s="3" t="s">
        <v>35</v>
      </c>
      <c r="D4" s="3" t="s">
        <v>37</v>
      </c>
      <c r="E4" s="4"/>
      <c r="F4" s="4"/>
      <c r="G4" s="4"/>
      <c r="H4" s="4">
        <v>1.0</v>
      </c>
      <c r="I4" s="4"/>
      <c r="J4" s="4">
        <v>1.0</v>
      </c>
      <c r="K4" s="4"/>
      <c r="L4" s="4"/>
      <c r="M4" s="4"/>
      <c r="N4" s="4"/>
      <c r="O4" s="4"/>
      <c r="P4" s="4"/>
      <c r="Q4" s="4">
        <f t="shared" si="1"/>
        <v>2</v>
      </c>
    </row>
    <row r="5">
      <c r="A5" s="7" t="s">
        <v>29</v>
      </c>
      <c r="B5" s="7" t="s">
        <v>38</v>
      </c>
      <c r="C5" s="7" t="s">
        <v>39</v>
      </c>
      <c r="D5" s="7" t="s">
        <v>41</v>
      </c>
      <c r="E5" s="8"/>
      <c r="F5" s="8"/>
      <c r="G5" s="8"/>
      <c r="H5" s="8"/>
      <c r="I5" s="8"/>
      <c r="J5" s="8"/>
      <c r="K5" s="8">
        <v>1.0</v>
      </c>
      <c r="L5" s="8">
        <v>1.0</v>
      </c>
      <c r="M5" s="8">
        <v>1.0</v>
      </c>
      <c r="N5" s="8"/>
      <c r="O5" s="8"/>
      <c r="P5" s="8"/>
      <c r="Q5" s="8">
        <f t="shared" si="1"/>
        <v>3</v>
      </c>
    </row>
    <row r="6">
      <c r="A6" s="3" t="s">
        <v>42</v>
      </c>
      <c r="B6" s="3" t="s">
        <v>43</v>
      </c>
      <c r="C6" s="3" t="s">
        <v>44</v>
      </c>
      <c r="D6" s="3" t="s">
        <v>46</v>
      </c>
      <c r="E6" s="4"/>
      <c r="F6" s="4"/>
      <c r="G6" s="4">
        <v>1.0</v>
      </c>
      <c r="H6" s="4"/>
      <c r="I6" s="4"/>
      <c r="J6" s="4"/>
      <c r="K6" s="4"/>
      <c r="L6" s="4"/>
      <c r="M6" s="4"/>
      <c r="N6" s="4"/>
      <c r="O6" s="4">
        <v>1.0</v>
      </c>
      <c r="P6" s="4"/>
      <c r="Q6" s="4">
        <f t="shared" si="1"/>
        <v>2</v>
      </c>
    </row>
    <row r="7">
      <c r="A7" s="7" t="s">
        <v>47</v>
      </c>
      <c r="B7" s="7" t="s">
        <v>48</v>
      </c>
      <c r="C7" s="7" t="s">
        <v>49</v>
      </c>
      <c r="D7" s="7" t="s">
        <v>51</v>
      </c>
      <c r="E7" s="8"/>
      <c r="F7" s="8"/>
      <c r="G7" s="8"/>
      <c r="H7" s="8"/>
      <c r="I7" s="8">
        <v>1.0</v>
      </c>
      <c r="J7" s="8"/>
      <c r="K7" s="8"/>
      <c r="L7" s="8">
        <v>1.0</v>
      </c>
      <c r="M7" s="8"/>
      <c r="N7" s="8"/>
      <c r="O7" s="8"/>
      <c r="P7" s="8"/>
      <c r="Q7" s="8">
        <f t="shared" si="1"/>
        <v>2</v>
      </c>
    </row>
    <row r="8">
      <c r="A8" s="3" t="s">
        <v>52</v>
      </c>
      <c r="B8" s="3" t="s">
        <v>53</v>
      </c>
      <c r="C8" s="3" t="s">
        <v>54</v>
      </c>
      <c r="D8" s="3" t="s">
        <v>56</v>
      </c>
      <c r="E8" s="4"/>
      <c r="F8" s="4"/>
      <c r="G8" s="4"/>
      <c r="H8" s="4"/>
      <c r="I8" s="4"/>
      <c r="J8" s="4"/>
      <c r="K8" s="4"/>
      <c r="L8" s="4"/>
      <c r="M8" s="4"/>
      <c r="N8" s="4"/>
      <c r="O8" s="4">
        <v>1.0</v>
      </c>
      <c r="P8" s="4"/>
      <c r="Q8" s="4">
        <f t="shared" si="1"/>
        <v>1</v>
      </c>
    </row>
    <row r="9">
      <c r="A9" s="7" t="s">
        <v>57</v>
      </c>
      <c r="B9" s="7" t="s">
        <v>58</v>
      </c>
      <c r="C9" s="7" t="s">
        <v>59</v>
      </c>
      <c r="D9" s="7" t="s">
        <v>61</v>
      </c>
      <c r="E9" s="8"/>
      <c r="F9" s="8"/>
      <c r="G9" s="8"/>
      <c r="H9" s="8"/>
      <c r="I9" s="8">
        <v>1.0</v>
      </c>
      <c r="J9" s="8"/>
      <c r="K9" s="8">
        <v>1.0</v>
      </c>
      <c r="L9" s="8"/>
      <c r="M9" s="8">
        <v>1.0</v>
      </c>
      <c r="N9" s="8"/>
      <c r="O9" s="8"/>
      <c r="P9" s="8"/>
      <c r="Q9" s="8">
        <f t="shared" si="1"/>
        <v>3</v>
      </c>
    </row>
    <row r="10">
      <c r="A10" s="3" t="s">
        <v>62</v>
      </c>
      <c r="B10" s="3" t="s">
        <v>63</v>
      </c>
      <c r="C10" s="3" t="s">
        <v>64</v>
      </c>
      <c r="D10" s="3" t="s">
        <v>66</v>
      </c>
      <c r="E10" s="4"/>
      <c r="F10" s="4"/>
      <c r="G10" s="4"/>
      <c r="H10" s="4"/>
      <c r="I10" s="4"/>
      <c r="J10" s="4"/>
      <c r="K10" s="4">
        <v>1.0</v>
      </c>
      <c r="L10" s="4">
        <v>1.0</v>
      </c>
      <c r="M10" s="4"/>
      <c r="N10" s="4"/>
      <c r="O10" s="4"/>
      <c r="P10" s="4">
        <v>1.0</v>
      </c>
      <c r="Q10" s="4">
        <f t="shared" si="1"/>
        <v>3</v>
      </c>
    </row>
    <row r="11">
      <c r="A11" s="7" t="s">
        <v>67</v>
      </c>
      <c r="B11" s="7" t="s">
        <v>68</v>
      </c>
      <c r="C11" s="7" t="s">
        <v>69</v>
      </c>
      <c r="D11" s="7" t="s">
        <v>71</v>
      </c>
      <c r="E11" s="8"/>
      <c r="F11" s="8"/>
      <c r="G11" s="8">
        <v>1.0</v>
      </c>
      <c r="H11" s="8">
        <v>1.0</v>
      </c>
      <c r="I11" s="8">
        <v>1.0</v>
      </c>
      <c r="J11" s="8"/>
      <c r="K11" s="8"/>
      <c r="L11" s="8"/>
      <c r="M11" s="8"/>
      <c r="N11" s="8"/>
      <c r="O11" s="8"/>
      <c r="P11" s="8"/>
      <c r="Q11" s="8">
        <f t="shared" si="1"/>
        <v>3</v>
      </c>
    </row>
    <row r="12">
      <c r="A12" s="3" t="s">
        <v>72</v>
      </c>
      <c r="B12" s="3" t="s">
        <v>73</v>
      </c>
      <c r="C12" s="3" t="s">
        <v>74</v>
      </c>
      <c r="D12" s="3" t="s">
        <v>76</v>
      </c>
      <c r="E12" s="4"/>
      <c r="F12" s="4">
        <v>1.0</v>
      </c>
      <c r="G12" s="4"/>
      <c r="H12" s="4">
        <v>1.0</v>
      </c>
      <c r="I12" s="4"/>
      <c r="J12" s="4"/>
      <c r="K12" s="4"/>
      <c r="L12" s="4">
        <v>1.0</v>
      </c>
      <c r="M12" s="4"/>
      <c r="N12" s="4"/>
      <c r="O12" s="4"/>
      <c r="P12" s="4"/>
      <c r="Q12" s="4">
        <f t="shared" si="1"/>
        <v>3</v>
      </c>
    </row>
    <row r="13">
      <c r="A13" s="7" t="s">
        <v>77</v>
      </c>
      <c r="B13" s="7" t="s">
        <v>78</v>
      </c>
      <c r="C13" s="7" t="s">
        <v>79</v>
      </c>
      <c r="D13" s="7" t="s">
        <v>81</v>
      </c>
      <c r="E13" s="8"/>
      <c r="F13" s="8">
        <v>1.0</v>
      </c>
      <c r="G13" s="8"/>
      <c r="H13" s="8"/>
      <c r="I13" s="8">
        <v>1.0</v>
      </c>
      <c r="J13" s="8"/>
      <c r="K13" s="8"/>
      <c r="L13" s="8">
        <v>1.0</v>
      </c>
      <c r="M13" s="8"/>
      <c r="N13" s="8"/>
      <c r="O13" s="8"/>
      <c r="P13" s="8"/>
      <c r="Q13" s="8">
        <f t="shared" si="1"/>
        <v>3</v>
      </c>
    </row>
    <row r="14">
      <c r="A14" s="3" t="s">
        <v>82</v>
      </c>
      <c r="B14" s="3" t="s">
        <v>83</v>
      </c>
      <c r="C14" s="3" t="s">
        <v>84</v>
      </c>
      <c r="D14" s="3" t="s">
        <v>86</v>
      </c>
      <c r="E14" s="4"/>
      <c r="F14" s="4"/>
      <c r="G14" s="4">
        <v>1.0</v>
      </c>
      <c r="H14" s="4"/>
      <c r="I14" s="4">
        <v>1.0</v>
      </c>
      <c r="J14" s="4"/>
      <c r="K14" s="4">
        <v>1.0</v>
      </c>
      <c r="L14" s="4"/>
      <c r="M14" s="4"/>
      <c r="N14" s="4"/>
      <c r="O14" s="4"/>
      <c r="P14" s="4"/>
      <c r="Q14" s="4">
        <f t="shared" si="1"/>
        <v>3</v>
      </c>
    </row>
    <row r="15">
      <c r="A15" s="7" t="s">
        <v>87</v>
      </c>
      <c r="B15" s="7" t="s">
        <v>88</v>
      </c>
      <c r="C15" s="7"/>
      <c r="D15" s="7" t="s">
        <v>89</v>
      </c>
      <c r="E15" s="8"/>
      <c r="F15" s="8"/>
      <c r="G15" s="8"/>
      <c r="H15" s="8"/>
      <c r="I15" s="8"/>
      <c r="J15" s="8"/>
      <c r="K15" s="8"/>
      <c r="L15" s="8">
        <v>1.0</v>
      </c>
      <c r="M15" s="8"/>
      <c r="N15" s="8"/>
      <c r="O15" s="8">
        <v>1.0</v>
      </c>
      <c r="P15" s="8"/>
      <c r="Q15" s="8">
        <f t="shared" si="1"/>
        <v>2</v>
      </c>
    </row>
    <row r="16">
      <c r="A16" s="3" t="s">
        <v>90</v>
      </c>
      <c r="B16" s="3" t="s">
        <v>91</v>
      </c>
      <c r="C16" s="3" t="s">
        <v>92</v>
      </c>
      <c r="D16" s="3" t="s">
        <v>94</v>
      </c>
      <c r="E16" s="4"/>
      <c r="F16" s="4"/>
      <c r="G16" s="4"/>
      <c r="H16" s="4"/>
      <c r="I16" s="4">
        <v>1.0</v>
      </c>
      <c r="J16" s="4"/>
      <c r="K16" s="4"/>
      <c r="L16" s="4"/>
      <c r="M16" s="4"/>
      <c r="N16" s="4"/>
      <c r="O16" s="4"/>
      <c r="P16" s="4"/>
      <c r="Q16" s="4">
        <f t="shared" si="1"/>
        <v>1</v>
      </c>
    </row>
    <row r="17">
      <c r="A17" s="7" t="s">
        <v>95</v>
      </c>
      <c r="B17" s="7" t="s">
        <v>96</v>
      </c>
      <c r="C17" s="7" t="s">
        <v>97</v>
      </c>
      <c r="D17" s="7" t="s">
        <v>99</v>
      </c>
      <c r="E17" s="8"/>
      <c r="F17" s="8"/>
      <c r="G17" s="8"/>
      <c r="H17" s="8">
        <v>1.0</v>
      </c>
      <c r="I17" s="8"/>
      <c r="J17" s="8"/>
      <c r="K17" s="8">
        <v>1.0</v>
      </c>
      <c r="L17" s="8"/>
      <c r="M17" s="8">
        <v>1.0</v>
      </c>
      <c r="N17" s="8"/>
      <c r="O17" s="8">
        <v>1.0</v>
      </c>
      <c r="P17" s="8">
        <v>1.0</v>
      </c>
      <c r="Q17" s="8">
        <f t="shared" si="1"/>
        <v>5</v>
      </c>
    </row>
    <row r="18">
      <c r="A18" s="3" t="s">
        <v>100</v>
      </c>
      <c r="B18" s="3" t="s">
        <v>101</v>
      </c>
      <c r="C18" s="3" t="s">
        <v>102</v>
      </c>
      <c r="D18" s="3" t="s">
        <v>104</v>
      </c>
      <c r="E18" s="4">
        <v>1.0</v>
      </c>
      <c r="F18" s="4">
        <v>1.0</v>
      </c>
      <c r="G18" s="4"/>
      <c r="H18" s="4"/>
      <c r="I18" s="4"/>
      <c r="J18" s="4">
        <v>1.0</v>
      </c>
      <c r="K18" s="4"/>
      <c r="L18" s="4"/>
      <c r="M18" s="4">
        <v>1.0</v>
      </c>
      <c r="N18" s="4"/>
      <c r="O18" s="4"/>
      <c r="P18" s="4"/>
      <c r="Q18" s="4">
        <f t="shared" si="1"/>
        <v>4</v>
      </c>
    </row>
    <row r="19">
      <c r="A19" s="7" t="s">
        <v>105</v>
      </c>
      <c r="B19" s="7" t="s">
        <v>106</v>
      </c>
      <c r="C19" s="7" t="s">
        <v>107</v>
      </c>
      <c r="D19" s="7" t="s">
        <v>109</v>
      </c>
      <c r="E19" s="8"/>
      <c r="F19" s="8"/>
      <c r="G19" s="8">
        <v>1.0</v>
      </c>
      <c r="H19" s="8">
        <v>1.0</v>
      </c>
      <c r="I19" s="8"/>
      <c r="J19" s="8"/>
      <c r="K19" s="8"/>
      <c r="L19" s="8"/>
      <c r="M19" s="8"/>
      <c r="N19" s="8">
        <v>1.0</v>
      </c>
      <c r="O19" s="8"/>
      <c r="P19" s="8"/>
      <c r="Q19" s="8">
        <f t="shared" si="1"/>
        <v>3</v>
      </c>
    </row>
    <row r="20">
      <c r="A20" s="3" t="s">
        <v>110</v>
      </c>
      <c r="B20" s="3" t="s">
        <v>111</v>
      </c>
      <c r="C20" s="3" t="s">
        <v>112</v>
      </c>
      <c r="D20" s="3" t="s">
        <v>114</v>
      </c>
      <c r="E20" s="4"/>
      <c r="F20" s="4"/>
      <c r="G20" s="4"/>
      <c r="H20" s="4"/>
      <c r="I20" s="4"/>
      <c r="J20" s="4">
        <v>1.0</v>
      </c>
      <c r="K20" s="4">
        <v>1.0</v>
      </c>
      <c r="L20" s="4">
        <v>1.0</v>
      </c>
      <c r="M20" s="4"/>
      <c r="N20" s="4"/>
      <c r="O20" s="4"/>
      <c r="P20" s="4"/>
      <c r="Q20" s="4">
        <f t="shared" si="1"/>
        <v>3</v>
      </c>
    </row>
    <row r="21" ht="15.75" customHeight="1">
      <c r="A21" s="7" t="s">
        <v>115</v>
      </c>
      <c r="B21" s="7" t="s">
        <v>116</v>
      </c>
      <c r="C21" s="7" t="s">
        <v>117</v>
      </c>
      <c r="D21" s="7" t="s">
        <v>119</v>
      </c>
      <c r="E21" s="8"/>
      <c r="F21" s="8"/>
      <c r="G21" s="8"/>
      <c r="H21" s="8">
        <v>1.0</v>
      </c>
      <c r="I21" s="8"/>
      <c r="J21" s="8"/>
      <c r="K21" s="8"/>
      <c r="L21" s="8"/>
      <c r="M21" s="8"/>
      <c r="N21" s="8"/>
      <c r="O21" s="8"/>
      <c r="P21" s="8"/>
      <c r="Q21" s="8">
        <f t="shared" si="1"/>
        <v>1</v>
      </c>
    </row>
    <row r="22" ht="15.75" customHeight="1">
      <c r="A22" s="3" t="s">
        <v>120</v>
      </c>
      <c r="B22" s="3" t="s">
        <v>121</v>
      </c>
      <c r="C22" s="3" t="s">
        <v>122</v>
      </c>
      <c r="D22" s="3" t="s">
        <v>124</v>
      </c>
      <c r="E22" s="4"/>
      <c r="F22" s="4"/>
      <c r="G22" s="4"/>
      <c r="H22" s="4"/>
      <c r="I22" s="4"/>
      <c r="J22" s="4"/>
      <c r="K22" s="4"/>
      <c r="L22" s="4">
        <v>1.0</v>
      </c>
      <c r="M22" s="4"/>
      <c r="N22" s="4">
        <v>1.0</v>
      </c>
      <c r="O22" s="4"/>
      <c r="P22" s="4">
        <v>1.0</v>
      </c>
      <c r="Q22" s="4">
        <f t="shared" si="1"/>
        <v>3</v>
      </c>
    </row>
    <row r="23" ht="15.75" customHeight="1">
      <c r="A23" s="7" t="s">
        <v>125</v>
      </c>
      <c r="B23" s="7" t="s">
        <v>126</v>
      </c>
      <c r="C23" s="7" t="s">
        <v>127</v>
      </c>
      <c r="D23" s="7" t="s">
        <v>129</v>
      </c>
      <c r="E23" s="8"/>
      <c r="F23" s="8"/>
      <c r="G23" s="8"/>
      <c r="H23" s="8"/>
      <c r="I23" s="8"/>
      <c r="J23" s="8">
        <v>1.0</v>
      </c>
      <c r="K23" s="8">
        <v>1.0</v>
      </c>
      <c r="L23" s="8"/>
      <c r="M23" s="8">
        <v>1.0</v>
      </c>
      <c r="N23" s="8"/>
      <c r="O23" s="8"/>
      <c r="P23" s="8"/>
      <c r="Q23" s="8">
        <f t="shared" si="1"/>
        <v>3</v>
      </c>
    </row>
    <row r="24" ht="15.75" customHeight="1">
      <c r="A24" s="3" t="s">
        <v>130</v>
      </c>
      <c r="B24" s="3" t="s">
        <v>131</v>
      </c>
      <c r="C24" s="3" t="s">
        <v>132</v>
      </c>
      <c r="D24" s="3" t="s">
        <v>134</v>
      </c>
      <c r="E24" s="4"/>
      <c r="F24" s="4"/>
      <c r="G24" s="4">
        <v>1.0</v>
      </c>
      <c r="H24" s="4"/>
      <c r="I24" s="4">
        <v>1.0</v>
      </c>
      <c r="J24" s="4"/>
      <c r="K24" s="4"/>
      <c r="L24" s="4"/>
      <c r="M24" s="4"/>
      <c r="N24" s="4">
        <v>1.0</v>
      </c>
      <c r="O24" s="4"/>
      <c r="P24" s="4"/>
      <c r="Q24" s="4">
        <f t="shared" si="1"/>
        <v>3</v>
      </c>
    </row>
    <row r="25" ht="15.75" customHeight="1">
      <c r="A25" s="7" t="s">
        <v>135</v>
      </c>
      <c r="B25" s="7" t="s">
        <v>136</v>
      </c>
      <c r="C25" s="7"/>
      <c r="D25" s="7" t="s">
        <v>137</v>
      </c>
      <c r="E25" s="8"/>
      <c r="F25" s="8"/>
      <c r="G25" s="8"/>
      <c r="H25" s="8"/>
      <c r="I25" s="8">
        <v>1.0</v>
      </c>
      <c r="J25" s="8"/>
      <c r="K25" s="8">
        <v>1.0</v>
      </c>
      <c r="L25" s="8"/>
      <c r="M25" s="8">
        <v>1.0</v>
      </c>
      <c r="N25" s="8"/>
      <c r="O25" s="8"/>
      <c r="P25" s="8"/>
      <c r="Q25" s="8">
        <f t="shared" si="1"/>
        <v>3</v>
      </c>
    </row>
    <row r="26" ht="15.75" customHeight="1">
      <c r="A26" s="3" t="s">
        <v>138</v>
      </c>
      <c r="B26" s="3" t="s">
        <v>139</v>
      </c>
      <c r="C26" s="3"/>
      <c r="D26" s="3" t="s">
        <v>140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>
        <f t="shared" si="1"/>
        <v>0</v>
      </c>
    </row>
    <row r="27" ht="15.75" customHeight="1">
      <c r="A27" s="7" t="s">
        <v>141</v>
      </c>
      <c r="B27" s="7" t="s">
        <v>142</v>
      </c>
      <c r="C27" s="7" t="s">
        <v>143</v>
      </c>
      <c r="D27" s="7" t="s">
        <v>145</v>
      </c>
      <c r="E27" s="8"/>
      <c r="F27" s="8"/>
      <c r="G27" s="8">
        <v>1.0</v>
      </c>
      <c r="H27" s="8">
        <v>1.0</v>
      </c>
      <c r="I27" s="8"/>
      <c r="J27" s="8"/>
      <c r="K27" s="8"/>
      <c r="L27" s="8"/>
      <c r="M27" s="8">
        <v>1.0</v>
      </c>
      <c r="N27" s="8"/>
      <c r="O27" s="8"/>
      <c r="P27" s="8">
        <v>1.0</v>
      </c>
      <c r="Q27" s="8">
        <f t="shared" si="1"/>
        <v>4</v>
      </c>
    </row>
    <row r="28" ht="15.75" customHeight="1">
      <c r="A28" s="3" t="s">
        <v>146</v>
      </c>
      <c r="B28" s="3" t="s">
        <v>147</v>
      </c>
      <c r="C28" s="3" t="s">
        <v>148</v>
      </c>
      <c r="D28" s="3" t="s">
        <v>150</v>
      </c>
      <c r="E28" s="4"/>
      <c r="F28" s="4">
        <v>1.0</v>
      </c>
      <c r="G28" s="4"/>
      <c r="H28" s="4"/>
      <c r="I28" s="4"/>
      <c r="J28" s="4"/>
      <c r="K28" s="4"/>
      <c r="L28" s="4">
        <v>1.0</v>
      </c>
      <c r="M28" s="4"/>
      <c r="N28" s="4"/>
      <c r="O28" s="4"/>
      <c r="P28" s="4">
        <v>1.0</v>
      </c>
      <c r="Q28" s="4">
        <f t="shared" si="1"/>
        <v>3</v>
      </c>
    </row>
    <row r="29" ht="15.75" customHeight="1">
      <c r="A29" s="7" t="s">
        <v>151</v>
      </c>
      <c r="B29" s="7" t="s">
        <v>152</v>
      </c>
      <c r="C29" s="7" t="s">
        <v>153</v>
      </c>
      <c r="D29" s="7" t="s">
        <v>155</v>
      </c>
      <c r="E29" s="8"/>
      <c r="F29" s="8"/>
      <c r="G29" s="8">
        <v>1.0</v>
      </c>
      <c r="H29" s="8">
        <v>1.0</v>
      </c>
      <c r="I29" s="8">
        <v>1.0</v>
      </c>
      <c r="J29" s="8"/>
      <c r="K29" s="8"/>
      <c r="L29" s="8">
        <v>1.0</v>
      </c>
      <c r="M29" s="8"/>
      <c r="N29" s="8"/>
      <c r="O29" s="8"/>
      <c r="P29" s="8"/>
      <c r="Q29" s="8">
        <f t="shared" si="1"/>
        <v>4</v>
      </c>
    </row>
    <row r="30" ht="15.75" customHeight="1">
      <c r="A30" s="3" t="s">
        <v>156</v>
      </c>
      <c r="B30" s="3" t="s">
        <v>157</v>
      </c>
      <c r="C30" s="3" t="s">
        <v>158</v>
      </c>
      <c r="D30" s="3" t="s">
        <v>160</v>
      </c>
      <c r="E30" s="4"/>
      <c r="F30" s="4"/>
      <c r="G30" s="4"/>
      <c r="H30" s="4"/>
      <c r="I30" s="4"/>
      <c r="J30" s="4"/>
      <c r="K30" s="4"/>
      <c r="L30" s="4">
        <v>1.0</v>
      </c>
      <c r="M30" s="4"/>
      <c r="N30" s="4"/>
      <c r="O30" s="4"/>
      <c r="P30" s="4"/>
      <c r="Q30" s="4">
        <f t="shared" si="1"/>
        <v>1</v>
      </c>
    </row>
    <row r="31" ht="15.75" customHeight="1">
      <c r="A31" s="7" t="s">
        <v>161</v>
      </c>
      <c r="B31" s="7" t="s">
        <v>162</v>
      </c>
      <c r="C31" s="7" t="s">
        <v>163</v>
      </c>
      <c r="D31" s="7" t="s">
        <v>165</v>
      </c>
      <c r="E31" s="8">
        <v>1.0</v>
      </c>
      <c r="F31" s="8"/>
      <c r="G31" s="8"/>
      <c r="H31" s="8"/>
      <c r="I31" s="8"/>
      <c r="J31" s="8"/>
      <c r="K31" s="8">
        <v>1.0</v>
      </c>
      <c r="L31" s="8"/>
      <c r="M31" s="8">
        <v>1.0</v>
      </c>
      <c r="N31" s="8"/>
      <c r="O31" s="8">
        <v>1.0</v>
      </c>
      <c r="P31" s="8"/>
      <c r="Q31" s="8">
        <f t="shared" si="1"/>
        <v>4</v>
      </c>
    </row>
    <row r="32" ht="15.75" customHeight="1">
      <c r="A32" s="3" t="s">
        <v>166</v>
      </c>
      <c r="B32" s="3" t="s">
        <v>167</v>
      </c>
      <c r="C32" s="3" t="s">
        <v>168</v>
      </c>
      <c r="D32" s="3" t="s">
        <v>170</v>
      </c>
      <c r="E32" s="4"/>
      <c r="F32" s="4"/>
      <c r="G32" s="4"/>
      <c r="H32" s="4"/>
      <c r="I32" s="4"/>
      <c r="J32" s="4">
        <v>1.0</v>
      </c>
      <c r="K32" s="4"/>
      <c r="L32" s="4">
        <v>1.0</v>
      </c>
      <c r="M32" s="4">
        <v>1.0</v>
      </c>
      <c r="N32" s="4"/>
      <c r="O32" s="4"/>
      <c r="P32" s="4"/>
      <c r="Q32" s="4">
        <f t="shared" si="1"/>
        <v>3</v>
      </c>
    </row>
    <row r="33" ht="15.75" customHeight="1">
      <c r="A33" s="7" t="s">
        <v>171</v>
      </c>
      <c r="B33" s="7" t="s">
        <v>172</v>
      </c>
      <c r="C33" s="7" t="s">
        <v>173</v>
      </c>
      <c r="D33" s="7" t="s">
        <v>175</v>
      </c>
      <c r="E33" s="8"/>
      <c r="F33" s="8"/>
      <c r="G33" s="8"/>
      <c r="H33" s="8"/>
      <c r="I33" s="8">
        <v>1.0</v>
      </c>
      <c r="J33" s="8"/>
      <c r="K33" s="8"/>
      <c r="L33" s="8">
        <v>1.0</v>
      </c>
      <c r="M33" s="8"/>
      <c r="N33" s="8"/>
      <c r="O33" s="8">
        <v>1.0</v>
      </c>
      <c r="P33" s="8"/>
      <c r="Q33" s="8">
        <f t="shared" si="1"/>
        <v>3</v>
      </c>
    </row>
    <row r="34" ht="15.75" customHeight="1">
      <c r="A34" s="3" t="s">
        <v>176</v>
      </c>
      <c r="B34" s="3" t="s">
        <v>177</v>
      </c>
      <c r="C34" s="3" t="s">
        <v>178</v>
      </c>
      <c r="D34" s="3" t="s">
        <v>180</v>
      </c>
      <c r="E34" s="4"/>
      <c r="F34" s="4"/>
      <c r="G34" s="4">
        <v>1.0</v>
      </c>
      <c r="H34" s="4"/>
      <c r="I34" s="4">
        <v>1.0</v>
      </c>
      <c r="J34" s="4">
        <v>1.0</v>
      </c>
      <c r="K34" s="4"/>
      <c r="L34" s="4"/>
      <c r="M34" s="4"/>
      <c r="N34" s="4"/>
      <c r="O34" s="4"/>
      <c r="P34" s="4"/>
      <c r="Q34" s="4">
        <f t="shared" si="1"/>
        <v>3</v>
      </c>
    </row>
    <row r="35" ht="15.75" customHeight="1">
      <c r="A35" s="7" t="s">
        <v>181</v>
      </c>
      <c r="B35" s="7" t="s">
        <v>182</v>
      </c>
      <c r="C35" s="7" t="s">
        <v>183</v>
      </c>
      <c r="D35" s="7" t="s">
        <v>185</v>
      </c>
      <c r="E35" s="8"/>
      <c r="F35" s="8"/>
      <c r="G35" s="8"/>
      <c r="H35" s="8"/>
      <c r="I35" s="8"/>
      <c r="J35" s="8">
        <v>1.0</v>
      </c>
      <c r="K35" s="8"/>
      <c r="L35" s="8"/>
      <c r="M35" s="8"/>
      <c r="N35" s="8"/>
      <c r="O35" s="8"/>
      <c r="P35" s="8"/>
      <c r="Q35" s="8">
        <f t="shared" si="1"/>
        <v>1</v>
      </c>
    </row>
    <row r="36" ht="15.75" customHeight="1">
      <c r="A36" s="3" t="s">
        <v>181</v>
      </c>
      <c r="B36" s="3" t="s">
        <v>186</v>
      </c>
      <c r="C36" s="3" t="s">
        <v>187</v>
      </c>
      <c r="D36" s="3" t="s">
        <v>189</v>
      </c>
      <c r="E36" s="4"/>
      <c r="F36" s="4"/>
      <c r="G36" s="4"/>
      <c r="H36" s="4">
        <v>1.0</v>
      </c>
      <c r="I36" s="4"/>
      <c r="J36" s="4"/>
      <c r="K36" s="4"/>
      <c r="L36" s="4"/>
      <c r="M36" s="4">
        <v>1.0</v>
      </c>
      <c r="N36" s="4">
        <v>1.0</v>
      </c>
      <c r="O36" s="4"/>
      <c r="P36" s="4"/>
      <c r="Q36" s="4">
        <f t="shared" si="1"/>
        <v>3</v>
      </c>
    </row>
    <row r="37" ht="15.75" customHeight="1">
      <c r="A37" s="7" t="s">
        <v>190</v>
      </c>
      <c r="B37" s="7" t="s">
        <v>191</v>
      </c>
      <c r="C37" s="7" t="s">
        <v>192</v>
      </c>
      <c r="D37" s="7" t="s">
        <v>194</v>
      </c>
      <c r="E37" s="8">
        <v>1.0</v>
      </c>
      <c r="F37" s="8"/>
      <c r="G37" s="8"/>
      <c r="H37" s="8"/>
      <c r="I37" s="8"/>
      <c r="J37" s="8"/>
      <c r="K37" s="8"/>
      <c r="L37" s="8"/>
      <c r="M37" s="8">
        <v>1.0</v>
      </c>
      <c r="N37" s="8">
        <v>1.0</v>
      </c>
      <c r="O37" s="8"/>
      <c r="P37" s="8"/>
      <c r="Q37" s="8">
        <f t="shared" si="1"/>
        <v>3</v>
      </c>
    </row>
    <row r="38" ht="15.75" customHeight="1">
      <c r="A38" s="3" t="s">
        <v>195</v>
      </c>
      <c r="B38" s="3" t="s">
        <v>196</v>
      </c>
      <c r="C38" s="3" t="s">
        <v>197</v>
      </c>
      <c r="D38" s="3" t="s">
        <v>199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>
        <f t="shared" si="1"/>
        <v>0</v>
      </c>
    </row>
    <row r="39" ht="15.75" customHeight="1">
      <c r="A39" s="7" t="s">
        <v>200</v>
      </c>
      <c r="B39" s="7" t="s">
        <v>201</v>
      </c>
      <c r="C39" s="7" t="s">
        <v>202</v>
      </c>
      <c r="D39" s="7" t="s">
        <v>204</v>
      </c>
      <c r="E39" s="8"/>
      <c r="F39" s="8"/>
      <c r="G39" s="8">
        <v>1.0</v>
      </c>
      <c r="H39" s="8"/>
      <c r="I39" s="8"/>
      <c r="J39" s="8"/>
      <c r="K39" s="8"/>
      <c r="L39" s="8"/>
      <c r="M39" s="8"/>
      <c r="N39" s="8"/>
      <c r="O39" s="8"/>
      <c r="P39" s="8">
        <v>1.0</v>
      </c>
      <c r="Q39" s="8">
        <f t="shared" si="1"/>
        <v>2</v>
      </c>
    </row>
    <row r="40" ht="15.75" customHeight="1">
      <c r="A40" s="3" t="s">
        <v>205</v>
      </c>
      <c r="B40" s="3" t="s">
        <v>206</v>
      </c>
      <c r="C40" s="3" t="s">
        <v>207</v>
      </c>
      <c r="D40" s="3" t="s">
        <v>209</v>
      </c>
      <c r="E40" s="4"/>
      <c r="F40" s="4">
        <v>1.0</v>
      </c>
      <c r="G40" s="4"/>
      <c r="H40" s="4"/>
      <c r="I40" s="4"/>
      <c r="J40" s="4"/>
      <c r="K40" s="4">
        <v>1.0</v>
      </c>
      <c r="L40" s="4"/>
      <c r="M40" s="4"/>
      <c r="N40" s="4"/>
      <c r="O40" s="4"/>
      <c r="P40" s="4">
        <v>1.0</v>
      </c>
      <c r="Q40" s="4">
        <f t="shared" si="1"/>
        <v>3</v>
      </c>
    </row>
    <row r="41" ht="15.75" customHeight="1">
      <c r="A41" s="7" t="s">
        <v>205</v>
      </c>
      <c r="B41" s="7" t="s">
        <v>210</v>
      </c>
      <c r="C41" s="7" t="s">
        <v>211</v>
      </c>
      <c r="D41" s="7" t="s">
        <v>213</v>
      </c>
      <c r="E41" s="8"/>
      <c r="F41" s="8"/>
      <c r="G41" s="8"/>
      <c r="H41" s="8"/>
      <c r="I41" s="8"/>
      <c r="J41" s="8"/>
      <c r="K41" s="8"/>
      <c r="L41" s="8">
        <v>1.0</v>
      </c>
      <c r="M41" s="8"/>
      <c r="N41" s="8">
        <v>1.0</v>
      </c>
      <c r="O41" s="8">
        <v>1.0</v>
      </c>
      <c r="P41" s="8"/>
      <c r="Q41" s="8">
        <f t="shared" si="1"/>
        <v>3</v>
      </c>
    </row>
    <row r="42" ht="15.75" customHeight="1">
      <c r="A42" s="3" t="s">
        <v>214</v>
      </c>
      <c r="B42" s="3" t="s">
        <v>215</v>
      </c>
      <c r="C42" s="3" t="s">
        <v>216</v>
      </c>
      <c r="D42" s="3" t="s">
        <v>218</v>
      </c>
      <c r="E42" s="4"/>
      <c r="F42" s="4">
        <v>1.0</v>
      </c>
      <c r="G42" s="4"/>
      <c r="H42" s="4"/>
      <c r="I42" s="4"/>
      <c r="J42" s="4">
        <v>1.0</v>
      </c>
      <c r="K42" s="4">
        <v>1.0</v>
      </c>
      <c r="L42" s="4"/>
      <c r="M42" s="4"/>
      <c r="N42" s="4"/>
      <c r="O42" s="4"/>
      <c r="P42" s="4">
        <v>1.0</v>
      </c>
      <c r="Q42" s="4">
        <f t="shared" si="1"/>
        <v>4</v>
      </c>
    </row>
    <row r="43" ht="15.75" customHeight="1">
      <c r="A43" s="7" t="s">
        <v>214</v>
      </c>
      <c r="B43" s="7" t="s">
        <v>219</v>
      </c>
      <c r="C43" s="7" t="s">
        <v>220</v>
      </c>
      <c r="D43" s="7" t="s">
        <v>222</v>
      </c>
      <c r="E43" s="8"/>
      <c r="F43" s="8"/>
      <c r="G43" s="8"/>
      <c r="H43" s="8"/>
      <c r="I43" s="8"/>
      <c r="J43" s="8">
        <v>1.0</v>
      </c>
      <c r="K43" s="8"/>
      <c r="L43" s="8">
        <v>1.0</v>
      </c>
      <c r="M43" s="8"/>
      <c r="N43" s="8"/>
      <c r="O43" s="8">
        <v>1.0</v>
      </c>
      <c r="P43" s="8"/>
      <c r="Q43" s="8">
        <f t="shared" si="1"/>
        <v>3</v>
      </c>
    </row>
    <row r="44" ht="15.75" customHeight="1">
      <c r="A44" s="3" t="s">
        <v>223</v>
      </c>
      <c r="B44" s="3" t="s">
        <v>224</v>
      </c>
      <c r="C44" s="3" t="s">
        <v>225</v>
      </c>
      <c r="D44" s="3" t="s">
        <v>227</v>
      </c>
      <c r="E44" s="4"/>
      <c r="F44" s="4"/>
      <c r="G44" s="4"/>
      <c r="H44" s="4">
        <v>1.0</v>
      </c>
      <c r="I44" s="4">
        <v>1.0</v>
      </c>
      <c r="J44" s="4"/>
      <c r="K44" s="4"/>
      <c r="L44" s="4"/>
      <c r="M44" s="4"/>
      <c r="N44" s="4"/>
      <c r="O44" s="8"/>
      <c r="P44" s="4"/>
      <c r="Q44" s="4">
        <f t="shared" si="1"/>
        <v>2</v>
      </c>
    </row>
    <row r="45" ht="15.75" customHeight="1">
      <c r="A45" s="7" t="s">
        <v>228</v>
      </c>
      <c r="B45" s="7" t="s">
        <v>229</v>
      </c>
      <c r="C45" s="7" t="s">
        <v>230</v>
      </c>
      <c r="D45" s="7" t="s">
        <v>232</v>
      </c>
      <c r="E45" s="8"/>
      <c r="F45" s="8"/>
      <c r="G45" s="8"/>
      <c r="H45" s="8"/>
      <c r="I45" s="8">
        <v>1.0</v>
      </c>
      <c r="J45" s="8">
        <v>1.0</v>
      </c>
      <c r="K45" s="8"/>
      <c r="L45" s="8"/>
      <c r="M45" s="8"/>
      <c r="N45" s="8">
        <v>1.0</v>
      </c>
      <c r="O45" s="8"/>
      <c r="Q45" s="8">
        <f t="shared" si="1"/>
        <v>3</v>
      </c>
    </row>
    <row r="46" ht="15.75" customHeight="1">
      <c r="A46" s="3" t="s">
        <v>233</v>
      </c>
      <c r="B46" s="3" t="s">
        <v>234</v>
      </c>
      <c r="C46" s="3" t="s">
        <v>235</v>
      </c>
      <c r="D46" s="3" t="s">
        <v>237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>
        <f t="shared" si="1"/>
        <v>0</v>
      </c>
    </row>
    <row r="47" ht="15.75" customHeight="1">
      <c r="A47" s="7" t="s">
        <v>238</v>
      </c>
      <c r="B47" s="7" t="s">
        <v>82</v>
      </c>
      <c r="C47" s="7" t="s">
        <v>239</v>
      </c>
      <c r="D47" s="7" t="s">
        <v>241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>
        <f t="shared" si="1"/>
        <v>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